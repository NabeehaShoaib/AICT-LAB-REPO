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d62ccd3ccbd6f4a4/Desktop/"/>
    </mc:Choice>
  </mc:AlternateContent>
  <xr:revisionPtr revIDLastSave="7" documentId="11_3AAC48F6BA6A145497F7B144E3CF36834D06CAF1" xr6:coauthVersionLast="47" xr6:coauthVersionMax="47" xr10:uidLastSave="{759189AC-FF9A-4378-A670-FC042BB07DE2}"/>
  <bookViews>
    <workbookView xWindow="-120" yWindow="-120" windowWidth="20730" windowHeight="11160"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3" i="1" l="1"/>
  <c r="D42" i="1"/>
  <c r="E42" i="1" s="1"/>
  <c r="D41" i="1"/>
  <c r="E41" i="1" s="1"/>
  <c r="E35" i="1"/>
  <c r="D32" i="1"/>
  <c r="E54" i="1" s="1"/>
  <c r="E33" i="1" l="1"/>
  <c r="E37" i="1"/>
  <c r="E39" i="1"/>
  <c r="E45" i="1"/>
  <c r="E49" i="1"/>
  <c r="E53" i="1"/>
  <c r="E47" i="1"/>
  <c r="E51" i="1"/>
  <c r="E34" i="1"/>
  <c r="E38" i="1"/>
  <c r="E44" i="1"/>
  <c r="E48" i="1"/>
  <c r="E52" i="1"/>
  <c r="E36" i="1"/>
  <c r="E40" i="1"/>
  <c r="E46" i="1"/>
  <c r="E50" i="1"/>
</calcChain>
</file>

<file path=xl/sharedStrings.xml><?xml version="1.0" encoding="utf-8"?>
<sst xmlns="http://schemas.openxmlformats.org/spreadsheetml/2006/main" count="238" uniqueCount="147">
  <si>
    <t>What is your current year of study?</t>
  </si>
  <si>
    <t>What is your field of study?</t>
  </si>
  <si>
    <t>Have you used AI-powered tools for learning?</t>
  </si>
  <si>
    <t>Which AI teaching/learning tools have you used? (Select all that apply)</t>
  </si>
  <si>
    <t>On a scale of 1-5, how effective do you find HUMAN TEACHERS for learning?</t>
  </si>
  <si>
    <t>On a scale of 1-5, how effective do you find AI TOOLS for learning?</t>
  </si>
  <si>
    <t>What are the STRENGTHS of human teachers? (Select all that apply)</t>
  </si>
  <si>
    <t>For understanding complex concepts, which do you prefer?</t>
  </si>
  <si>
    <t>What is your ideal teaching model for the future?</t>
  </si>
  <si>
    <t>What concerns you most about AI in education?</t>
  </si>
  <si>
    <t>2nd Year</t>
  </si>
  <si>
    <t>Computer Science</t>
  </si>
  <si>
    <t>Most oftenly</t>
  </si>
  <si>
    <t>ChatGPT, Google Gemini/Bard</t>
  </si>
  <si>
    <t>Personal connection and empathy, Provides motivation and encouragement, Discipline and structure</t>
  </si>
  <si>
    <t>Somewhat prefer Human Teachers</t>
  </si>
  <si>
    <t>Balanced blend (50% human, 50% AI)</t>
  </si>
  <si>
    <t>Great</t>
  </si>
  <si>
    <t>3rd Year</t>
  </si>
  <si>
    <t>Cyber Security</t>
  </si>
  <si>
    <t>ChatGPT, University LMS AI features</t>
  </si>
  <si>
    <t>Personal connection and empathy, Provides motivation and encouragement, Better at explaining complex concepts, Classroom interaction and discussions</t>
  </si>
  <si>
    <t>Strongly prefer Human Teachers</t>
  </si>
  <si>
    <t>Mostly human (75%) with minimal AI support (25%)</t>
  </si>
  <si>
    <t>It makes our work easier also it gives information about everything .</t>
  </si>
  <si>
    <t>BBA</t>
  </si>
  <si>
    <t>ChatGPT, Google Gemini/Bard, YouTube AI recommendations</t>
  </si>
  <si>
    <t>Adapts teaching style to student needs, Provides motivation and encouragement, Better at explaining complex concepts, Classroom interaction and discussions, Discipline and structure, Practical examples from experience</t>
  </si>
  <si>
    <t>Somewhat prefer AI Tools</t>
  </si>
  <si>
    <t>AI plays an important role for students because it can clear concept with basic and accurate reasons</t>
  </si>
  <si>
    <t>1st year</t>
  </si>
  <si>
    <t>ChatGPT</t>
  </si>
  <si>
    <t>Classroom interaction and discussions</t>
  </si>
  <si>
    <t>AI is very helpful but no one can replace human teachers mostly when I comes to programming .. complex concepts and debugging only done by human teachers</t>
  </si>
  <si>
    <t>Occassionly</t>
  </si>
  <si>
    <t>Personal connection and empathy, Adapts teaching style to student needs, Provides motivation and encouragement, Better at explaining complex concepts, Real-time doubt clarification, Classroom interaction and discussions, Discipline and structure, Practical examples from experience</t>
  </si>
  <si>
    <t>AI cannot replace human teacher because programming complex questions cannot solved by AI tools efficiently.</t>
  </si>
  <si>
    <t>Mechatronics</t>
  </si>
  <si>
    <t>ChatGPT, Google Gemini/Bard, YouTube AI recommendations, Other</t>
  </si>
  <si>
    <t>Personal connection and empathy, Adapts teaching style to student needs, Provides motivation and encouragement, Real-time doubt clarification</t>
  </si>
  <si>
    <t>Strongly prefer AI Tools</t>
  </si>
  <si>
    <t>Mostly AI (75%) with minimal human supervision (25%)</t>
  </si>
  <si>
    <t xml:space="preserve">the main concern is over dependence to ai
</t>
  </si>
  <si>
    <t>BBIT</t>
  </si>
  <si>
    <t>Personal connection and empathy, Provides motivation and encouragement, Real-time doubt clarification, Classroom interaction and discussions,</t>
  </si>
  <si>
    <t>No preference (Both equal)</t>
  </si>
  <si>
    <t>Some diffrent concet that had not solve by the others than we use AI</t>
  </si>
  <si>
    <t>Adapts teaching style to student needs</t>
  </si>
  <si>
    <t>Mechanical Engineering</t>
  </si>
  <si>
    <t>Very helpful but sometimes it may make mistakes</t>
  </si>
  <si>
    <t>Personal connection and empathy, Adapts teaching style to student needs, Provides motivation and encouragement, Better at explaining complex concepts, Classroom interaction and discussions, Discipline and structure</t>
  </si>
  <si>
    <t>Ai is better in some cases because it can clear concept with basic and accurate reasons</t>
  </si>
  <si>
    <t>Personal connection and empathy, Adapts teaching style to student needs, Provides motivation and encouragement, Real-time doubt clarification, Classroom interaction and discussions, Discipline and structure, Practical examples from experience</t>
  </si>
  <si>
    <t>AI somewhat make mistakes and also not fully adapted to our learning style and mostly doesn't understand what we want still it's helpful and we can complete days work in hours</t>
  </si>
  <si>
    <t>4th Year</t>
  </si>
  <si>
    <t>Political science</t>
  </si>
  <si>
    <t>ChatGPT, Grammarly</t>
  </si>
  <si>
    <t>Personal connection and empathy, Adapts teaching style to student needs, Provides motivation and encouragement, Better at explaining complex concepts, Real-time doubt clarification</t>
  </si>
  <si>
    <t>Not as complex working as a student to relate multiple things at a certain time to one concept.</t>
  </si>
  <si>
    <t>Computer science</t>
  </si>
  <si>
    <t>ChatGPT, Google Gemini/Bard, Khan Academy, Other</t>
  </si>
  <si>
    <t>Personal connection and empathy, Adapts teaching style to student needs, Classroom interaction and discussions, Practical examples from experience</t>
  </si>
  <si>
    <t>A student who's using AI is loosing his/her skills , because the work he/she have to do in many hours is being done using AI in few minutes which is alarming in mang perspectives</t>
  </si>
  <si>
    <t>SE</t>
  </si>
  <si>
    <t>ChatGPT, Other</t>
  </si>
  <si>
    <t>Personal connection and empathy, Adapts teaching style to student needs, Provides motivation and encouragement</t>
  </si>
  <si>
    <t>Lack of understanding in AI, sometimes AI can give worst of it's responses, that only human teacher can help with.</t>
  </si>
  <si>
    <t>Personal connection and empathy, Adapts teaching style to student needs, Discipline and structure</t>
  </si>
  <si>
    <t>Students efforts lessen day by day</t>
  </si>
  <si>
    <t>Political Science</t>
  </si>
  <si>
    <t>ChatGPT, Google Gemini/Bard, Grammarly</t>
  </si>
  <si>
    <t>Personal connection and empathy, Adapts teaching style to student needs, Provides motivation and encouragement, Classroom interaction and discussions, Discipline and structure, Practical examples from experience</t>
  </si>
  <si>
    <t>It's good but human teaching is necessary.</t>
  </si>
  <si>
    <t>Bs Political Science</t>
  </si>
  <si>
    <t>Provides motivation and encouragement, Classroom interaction and discussions, Discipline and structure, Practical examples from experience</t>
  </si>
  <si>
    <t>AI in education is a complex issue, and there are several concerns that need to be addressed. One of the primary concerns is the potential for bias and unfairness in AI systems. If AI systems are trained on biased data, they can perpetuate existing inequalities and lead to unfair outcomes.</t>
  </si>
  <si>
    <t>Bs political science</t>
  </si>
  <si>
    <t>Practical examples from experience</t>
  </si>
  <si>
    <t>Research</t>
  </si>
  <si>
    <t>ChatGPT, Google Gemini/Bard, Other</t>
  </si>
  <si>
    <t>Personal connection and empathy, Practical examples from experience</t>
  </si>
  <si>
    <t>It makes students dependent on itself, reduces brain's abilities, and can also provide incorrect information.</t>
  </si>
  <si>
    <t>Too much use of AI is effecting our creativity</t>
  </si>
  <si>
    <t>Bs computational statistics and data analytics</t>
  </si>
  <si>
    <t>Adapts teaching style to student needs, Better at explaining complex concepts, Real-time doubt clarification, Classroom interaction and discussions, Practical examples from experience</t>
  </si>
  <si>
    <t>In ai system of education at some points it failed like common concepts</t>
  </si>
  <si>
    <t>Respondant No.</t>
  </si>
  <si>
    <t>Metric</t>
  </si>
  <si>
    <t>Total Responses</t>
  </si>
  <si>
    <t>Category</t>
  </si>
  <si>
    <t>Response Summary</t>
  </si>
  <si>
    <t>Year of study</t>
  </si>
  <si>
    <t>1st Year</t>
  </si>
  <si>
    <t>Usage Frequency</t>
  </si>
  <si>
    <t>Most Oftenly</t>
  </si>
  <si>
    <t>Ocassionally</t>
  </si>
  <si>
    <t>Rarely</t>
  </si>
  <si>
    <t>Never</t>
  </si>
  <si>
    <t>Count</t>
  </si>
  <si>
    <t>Data science</t>
  </si>
  <si>
    <t>Average Ratings</t>
  </si>
  <si>
    <t>Human Teachers</t>
  </si>
  <si>
    <t>AI Tools</t>
  </si>
  <si>
    <t>Learning preference</t>
  </si>
  <si>
    <t>Strongly prefer Human</t>
  </si>
  <si>
    <t>Somewhat prefer Human</t>
  </si>
  <si>
    <t>No preference</t>
  </si>
  <si>
    <t>Somewhat prefer AI</t>
  </si>
  <si>
    <t>Strongly prefer AI</t>
  </si>
  <si>
    <t>Google Gemini/Bard</t>
  </si>
  <si>
    <t>AI and LearningTools Used</t>
  </si>
  <si>
    <t>Khan Academy</t>
  </si>
  <si>
    <t>Grammarly</t>
  </si>
  <si>
    <t>University LMS AI Features</t>
  </si>
  <si>
    <t>Others</t>
  </si>
  <si>
    <t>Youtube AI</t>
  </si>
  <si>
    <t>Survey on AI vs Human Teaching</t>
  </si>
  <si>
    <t>Calculations Table</t>
  </si>
  <si>
    <t>Percentage</t>
  </si>
  <si>
    <t>PIE Charts</t>
  </si>
  <si>
    <t>Bar and Column Charts</t>
  </si>
  <si>
    <t xml:space="preserve">Computer Science </t>
  </si>
  <si>
    <t xml:space="preserve"> Computer Science</t>
  </si>
  <si>
    <t>Email Address</t>
  </si>
  <si>
    <t>engramir80@gmail.com</t>
  </si>
  <si>
    <t>Ashnoor811@gmail.com</t>
  </si>
  <si>
    <t>partabiafatima@gmail.com</t>
  </si>
  <si>
    <t>habibashah604@gmail.com</t>
  </si>
  <si>
    <t>siddiquaaimen@gmail.com</t>
  </si>
  <si>
    <t>umerb679679@gmail.com</t>
  </si>
  <si>
    <t>ali4470626@gmail.com</t>
  </si>
  <si>
    <t>faiqzubair456@gmail.com</t>
  </si>
  <si>
    <t>iamfatima.sadruddin@gmail.com</t>
  </si>
  <si>
    <t>irfanhafsa42@gmail.com</t>
  </si>
  <si>
    <t>ktkd098@gmail.com</t>
  </si>
  <si>
    <t>missalzahra208@gmail.com</t>
  </si>
  <si>
    <t>khadija.tahira2003@gmail.com</t>
  </si>
  <si>
    <t>maryamsarwar0300@gmail.com</t>
  </si>
  <si>
    <t>ebutt949@gmail.com</t>
  </si>
  <si>
    <t>zohiarshad2004@gmail.com</t>
  </si>
  <si>
    <t>jaanfaizan060@gmail.com</t>
  </si>
  <si>
    <t>aizaiftikhar2005@gmail.com</t>
  </si>
  <si>
    <t>paflaraibkhalil@gmail.com</t>
  </si>
  <si>
    <t>aleezafatima845@gmail.com</t>
  </si>
  <si>
    <t xml:space="preserve"> Civil Engineering</t>
  </si>
  <si>
    <t>nayabsultan54@gmail.com</t>
  </si>
  <si>
    <t>It is good but often give complex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</si>
</sst>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name val="Calibri"/>
    </font>
    <font>
      <b/>
      <sz val="14"/>
      <color rgb="FF000000"/>
      <name val="Times New Roman"/>
    </font>
    <font>
      <b/>
      <sz val="11"/>
      <color rgb="FF000000"/>
      <name val="Calibri"/>
    </font>
    <font>
      <b/>
      <sz val="12"/>
      <color rgb="FFFFFFFF"/>
      <name val="Times New Roman"/>
    </font>
    <font>
      <sz val="12"/>
      <color rgb="FF434343"/>
      <name val="Times New Roman"/>
    </font>
    <font>
      <b/>
      <sz val="12"/>
      <color rgb="FF000000"/>
      <name val="Times New Roman"/>
    </font>
    <font>
      <sz val="12"/>
      <color rgb="FF000000"/>
      <name val="Times New Roman"/>
    </font>
    <font>
      <sz val="11"/>
      <color rgb="FF000000"/>
      <name val="Calibri"/>
    </font>
    <font>
      <b/>
      <sz val="12"/>
      <color rgb="FFFFFFFF"/>
      <name val="Times New Roman"/>
      <family val="1"/>
    </font>
    <font>
      <sz val="12"/>
      <color rgb="FF434343"/>
      <name val="Times New Roman"/>
      <family val="1"/>
    </font>
    <font>
      <u/>
      <sz val="11"/>
      <color theme="10"/>
      <name val="Calibri"/>
    </font>
    <font>
      <b/>
      <sz val="12"/>
      <color theme="0"/>
      <name val="Times New Roman"/>
      <family val="1"/>
    </font>
  </fonts>
  <fills count="7">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rgb="FF1F3964"/>
        <bgColor indexed="64"/>
      </patternFill>
    </fill>
    <fill>
      <patternFill patternType="solid">
        <fgColor rgb="FF4473C4"/>
        <bgColor indexed="64"/>
      </patternFill>
    </fill>
  </fills>
  <borders count="37">
    <border>
      <left/>
      <right/>
      <top/>
      <bottom/>
      <diagonal/>
    </border>
    <border>
      <left/>
      <right/>
      <top/>
      <bottom style="thin">
        <color indexed="64"/>
      </bottom>
      <diagonal/>
    </border>
    <border>
      <left style="thin">
        <color indexed="64"/>
      </left>
      <right style="thin">
        <color rgb="FFFFFFFF"/>
      </right>
      <top style="thin">
        <color indexed="64"/>
      </top>
      <bottom style="thin">
        <color indexed="64"/>
      </bottom>
      <diagonal/>
    </border>
    <border>
      <left style="thin">
        <color rgb="FFFFFFFF"/>
      </left>
      <right style="thin">
        <color rgb="FFFFFFFF"/>
      </right>
      <top style="thin">
        <color indexed="64"/>
      </top>
      <bottom style="thin">
        <color indexed="64"/>
      </bottom>
      <diagonal/>
    </border>
    <border>
      <left/>
      <right style="thin">
        <color indexed="64"/>
      </right>
      <top style="thin">
        <color indexed="64"/>
      </top>
      <bottom style="thin">
        <color indexed="64"/>
      </bottom>
      <diagonal/>
    </border>
    <border>
      <left style="medium">
        <color rgb="FF442F65"/>
      </left>
      <right style="medium">
        <color rgb="FFFFFFFF"/>
      </right>
      <top/>
      <bottom style="medium">
        <color rgb="FFF8F9FA"/>
      </bottom>
      <diagonal/>
    </border>
    <border>
      <left style="medium">
        <color rgb="FFCCCCCC"/>
      </left>
      <right style="medium">
        <color rgb="FFFFFFFF"/>
      </right>
      <top/>
      <bottom style="medium">
        <color rgb="FFF8F9FA"/>
      </bottom>
      <diagonal/>
    </border>
    <border>
      <left style="medium">
        <color rgb="FFCCCCCC"/>
      </left>
      <right style="medium">
        <color rgb="FF442F65"/>
      </right>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FFFFFF"/>
      </right>
      <top style="thin">
        <color indexed="64"/>
      </top>
      <bottom style="thin">
        <color indexed="64"/>
      </bottom>
      <diagonal/>
    </border>
    <border>
      <left style="medium">
        <color rgb="FFCCCCCC"/>
      </left>
      <right style="thin">
        <color theme="0"/>
      </right>
      <top style="medium">
        <color rgb="FF442F65"/>
      </top>
      <bottom style="medium">
        <color rgb="FF442F65"/>
      </bottom>
      <diagonal/>
    </border>
    <border>
      <left style="thin">
        <color indexed="64"/>
      </left>
      <right/>
      <top style="thin">
        <color indexed="64"/>
      </top>
      <bottom style="thin">
        <color indexed="64"/>
      </bottom>
      <diagonal/>
    </border>
    <border>
      <left/>
      <right/>
      <top/>
      <bottom style="thick">
        <color rgb="FF7030A0"/>
      </bottom>
      <diagonal/>
    </border>
    <border>
      <left style="thin">
        <color indexed="64"/>
      </left>
      <right style="thick">
        <color rgb="FF7030A0"/>
      </right>
      <top style="thick">
        <color rgb="FF7030A0"/>
      </top>
      <bottom style="thin">
        <color indexed="64"/>
      </bottom>
      <diagonal/>
    </border>
    <border>
      <left style="thin">
        <color indexed="64"/>
      </left>
      <right style="thick">
        <color rgb="FF7030A0"/>
      </right>
      <top style="thin">
        <color indexed="64"/>
      </top>
      <bottom style="thin">
        <color indexed="64"/>
      </bottom>
      <diagonal/>
    </border>
    <border>
      <left style="thick">
        <color rgb="FF7030A0"/>
      </left>
      <right/>
      <top/>
      <bottom/>
      <diagonal/>
    </border>
    <border>
      <left/>
      <right/>
      <top style="thick">
        <color rgb="FF7030A0"/>
      </top>
      <bottom/>
      <diagonal/>
    </border>
    <border>
      <left style="thin">
        <color indexed="64"/>
      </left>
      <right/>
      <top style="thin">
        <color indexed="64"/>
      </top>
      <bottom/>
      <diagonal/>
    </border>
    <border>
      <left style="thin">
        <color indexed="64"/>
      </left>
      <right style="thin">
        <color indexed="64"/>
      </right>
      <top style="thin">
        <color indexed="64"/>
      </top>
      <bottom style="thick">
        <color rgb="FF7030A0"/>
      </bottom>
      <diagonal/>
    </border>
    <border>
      <left style="thin">
        <color indexed="64"/>
      </left>
      <right style="thin">
        <color indexed="64"/>
      </right>
      <top/>
      <bottom style="thick">
        <color rgb="FF7030A0"/>
      </bottom>
      <diagonal/>
    </border>
    <border>
      <left/>
      <right style="thick">
        <color rgb="FF7030A0"/>
      </right>
      <top style="thick">
        <color rgb="FF7030A0"/>
      </top>
      <bottom/>
      <diagonal/>
    </border>
    <border>
      <left/>
      <right style="thick">
        <color rgb="FF7030A0"/>
      </right>
      <top/>
      <bottom style="thin">
        <color indexed="64"/>
      </bottom>
      <diagonal/>
    </border>
    <border>
      <left style="thick">
        <color rgb="FF7030A0"/>
      </left>
      <right/>
      <top style="thick">
        <color rgb="FF7030A0"/>
      </top>
      <bottom/>
      <diagonal/>
    </border>
    <border>
      <left style="thick">
        <color rgb="FF7030A0"/>
      </left>
      <right/>
      <top/>
      <bottom style="thin">
        <color indexed="64"/>
      </bottom>
      <diagonal/>
    </border>
    <border>
      <left/>
      <right style="thick">
        <color rgb="FF7030A0"/>
      </right>
      <top/>
      <bottom style="thick">
        <color rgb="FF7030A0"/>
      </bottom>
      <diagonal/>
    </border>
    <border>
      <left style="thick">
        <color rgb="FF7030A0"/>
      </left>
      <right/>
      <top/>
      <bottom style="thick">
        <color rgb="FF7030A0"/>
      </bottom>
      <diagonal/>
    </border>
  </borders>
  <cellStyleXfs count="3">
    <xf numFmtId="0" fontId="0" fillId="0" borderId="0">
      <alignment vertical="center"/>
    </xf>
    <xf numFmtId="9" fontId="7" fillId="0" borderId="0">
      <alignment vertical="top"/>
      <protection locked="0"/>
    </xf>
    <xf numFmtId="0" fontId="10" fillId="0" borderId="0" applyNumberFormat="0" applyFill="0" applyBorder="0" applyAlignment="0" applyProtection="0">
      <alignment vertical="center"/>
    </xf>
  </cellStyleXfs>
  <cellXfs count="64">
    <xf numFmtId="0" fontId="0" fillId="0" borderId="0" xfId="0">
      <alignment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6" fillId="0" borderId="16" xfId="0" quotePrefix="1" applyFont="1" applyBorder="1" applyAlignment="1">
      <alignment horizontal="center" vertical="center"/>
    </xf>
    <xf numFmtId="0" fontId="6" fillId="0" borderId="16" xfId="0" applyFont="1" applyBorder="1" applyAlignment="1">
      <alignment horizontal="center" vertical="center"/>
    </xf>
    <xf numFmtId="164" fontId="6" fillId="0" borderId="16" xfId="0" applyNumberFormat="1" applyFont="1" applyBorder="1" applyAlignment="1">
      <alignment horizontal="center" vertical="center"/>
    </xf>
    <xf numFmtId="0" fontId="6" fillId="0" borderId="16" xfId="0" applyFont="1" applyBorder="1" applyAlignment="1">
      <alignment horizontal="center" vertical="center" wrapText="1"/>
    </xf>
    <xf numFmtId="0" fontId="5" fillId="6" borderId="17" xfId="0" applyFont="1" applyFill="1" applyBorder="1" applyAlignment="1">
      <alignment horizontal="center" vertical="center" wrapText="1"/>
    </xf>
    <xf numFmtId="0" fontId="5" fillId="6" borderId="18" xfId="0" applyFont="1" applyFill="1" applyBorder="1" applyAlignment="1">
      <alignment horizontal="center" vertical="center" wrapText="1"/>
    </xf>
    <xf numFmtId="0" fontId="5" fillId="6" borderId="19" xfId="0" applyFont="1" applyFill="1" applyBorder="1" applyAlignment="1">
      <alignment horizontal="center" vertical="center" wrapText="1"/>
    </xf>
    <xf numFmtId="0" fontId="5" fillId="6" borderId="17" xfId="0" applyFont="1" applyFill="1" applyBorder="1" applyAlignment="1">
      <alignment horizontal="center" vertical="center"/>
    </xf>
    <xf numFmtId="0" fontId="5" fillId="6" borderId="18" xfId="0" applyFont="1" applyFill="1" applyBorder="1" applyAlignment="1">
      <alignment horizontal="center" vertical="center"/>
    </xf>
    <xf numFmtId="0" fontId="5" fillId="6" borderId="19" xfId="0" applyFont="1" applyFill="1" applyBorder="1" applyAlignment="1">
      <alignment horizontal="center" vertical="center"/>
    </xf>
    <xf numFmtId="0" fontId="3" fillId="2" borderId="20"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2" fillId="0" borderId="1" xfId="0" applyFont="1" applyBorder="1" applyAlignment="1">
      <alignment horizontal="center" vertical="center"/>
    </xf>
    <xf numFmtId="0" fontId="10" fillId="4" borderId="9" xfId="2"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1" fillId="6" borderId="19" xfId="0" applyFont="1" applyFill="1" applyBorder="1" applyAlignment="1">
      <alignment horizontal="center" vertical="center" wrapText="1"/>
    </xf>
    <xf numFmtId="0" fontId="11" fillId="6" borderId="17" xfId="0" applyFont="1" applyFill="1" applyBorder="1" applyAlignment="1">
      <alignment horizontal="center" vertical="center"/>
    </xf>
    <xf numFmtId="0" fontId="11" fillId="6" borderId="18" xfId="0" applyFont="1" applyFill="1" applyBorder="1" applyAlignment="1">
      <alignment horizontal="center" vertical="center"/>
    </xf>
    <xf numFmtId="0" fontId="11" fillId="6" borderId="19" xfId="0" applyFont="1" applyFill="1" applyBorder="1" applyAlignment="1">
      <alignment horizontal="center" vertical="center"/>
    </xf>
    <xf numFmtId="0" fontId="9" fillId="4" borderId="10" xfId="0" applyFont="1" applyFill="1" applyBorder="1" applyAlignment="1">
      <alignment horizontal="center" vertical="center" wrapText="1"/>
    </xf>
    <xf numFmtId="0" fontId="11" fillId="5" borderId="19" xfId="0" applyFont="1" applyFill="1" applyBorder="1" applyAlignment="1">
      <alignment horizontal="center" vertical="center"/>
    </xf>
    <xf numFmtId="9" fontId="6" fillId="0" borderId="22" xfId="1" applyFont="1" applyBorder="1" applyAlignment="1" applyProtection="1">
      <alignment horizontal="center" vertical="center"/>
    </xf>
    <xf numFmtId="0" fontId="1" fillId="0" borderId="23" xfId="0" applyFont="1" applyBorder="1" applyAlignment="1">
      <alignment horizontal="center" vertical="center"/>
    </xf>
    <xf numFmtId="0" fontId="11" fillId="5" borderId="24" xfId="0" applyFont="1" applyFill="1" applyBorder="1" applyAlignment="1">
      <alignment horizontal="center" vertical="center"/>
    </xf>
    <xf numFmtId="0" fontId="6" fillId="0" borderId="25" xfId="0" applyFont="1" applyBorder="1" applyAlignment="1">
      <alignment horizontal="center" vertical="center"/>
    </xf>
    <xf numFmtId="0" fontId="0" fillId="0" borderId="26" xfId="0" applyBorder="1">
      <alignment vertical="center"/>
    </xf>
    <xf numFmtId="0" fontId="0" fillId="0" borderId="0" xfId="0" applyBorder="1">
      <alignment vertical="center"/>
    </xf>
    <xf numFmtId="9" fontId="6" fillId="0" borderId="25" xfId="1" applyFont="1" applyBorder="1" applyAlignment="1" applyProtection="1">
      <alignment horizontal="center" vertical="center"/>
    </xf>
    <xf numFmtId="9" fontId="6" fillId="0" borderId="28" xfId="1" applyFont="1" applyBorder="1" applyAlignment="1" applyProtection="1">
      <alignment horizontal="center" vertical="center"/>
    </xf>
    <xf numFmtId="0" fontId="0" fillId="0" borderId="27" xfId="0" applyBorder="1">
      <alignment vertical="center"/>
    </xf>
    <xf numFmtId="0" fontId="6" fillId="0" borderId="29" xfId="0" applyFont="1" applyBorder="1" applyAlignment="1">
      <alignment horizontal="center" vertical="center"/>
    </xf>
    <xf numFmtId="0" fontId="6" fillId="0" borderId="17" xfId="0" applyFont="1" applyBorder="1" applyAlignment="1">
      <alignment horizontal="center" vertical="center"/>
    </xf>
    <xf numFmtId="0" fontId="5" fillId="6" borderId="30" xfId="0" applyFont="1" applyFill="1" applyBorder="1" applyAlignment="1">
      <alignment horizontal="center" vertical="center" wrapText="1"/>
    </xf>
    <xf numFmtId="0" fontId="1" fillId="0" borderId="27" xfId="0" applyFont="1" applyBorder="1" applyAlignment="1">
      <alignment horizontal="center" vertical="center"/>
    </xf>
    <xf numFmtId="0" fontId="2" fillId="0" borderId="27" xfId="0" applyFont="1" applyBorder="1" applyAlignment="1">
      <alignment horizontal="center" vertical="center"/>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1" fillId="0" borderId="33" xfId="0" applyFont="1" applyBorder="1" applyAlignment="1">
      <alignment horizontal="center" vertical="center"/>
    </xf>
    <xf numFmtId="0" fontId="2" fillId="0" borderId="34" xfId="0" applyFont="1" applyBorder="1" applyAlignment="1">
      <alignment horizontal="center" vertical="center"/>
    </xf>
    <xf numFmtId="0" fontId="1" fillId="0" borderId="31" xfId="0" applyFont="1" applyBorder="1" applyAlignment="1">
      <alignment horizontal="center" vertical="center"/>
    </xf>
    <xf numFmtId="0" fontId="1" fillId="0" borderId="35" xfId="0" applyFont="1" applyBorder="1" applyAlignment="1">
      <alignment horizontal="center" vertical="center"/>
    </xf>
    <xf numFmtId="0" fontId="1" fillId="0" borderId="36" xfId="0" applyFont="1" applyBorder="1" applyAlignment="1">
      <alignment horizontal="center" vertical="center"/>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www.wps.cn/officeDocument/2020/cellImage" Target="NUL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What</a:t>
            </a:r>
            <a:r>
              <a:rPr lang="en-US" baseline="0">
                <a:latin typeface="Times New Roman" panose="02020603050405020304" pitchFamily="18" charset="0"/>
                <a:cs typeface="Times New Roman" panose="02020603050405020304" pitchFamily="18" charset="0"/>
              </a:rPr>
              <a:t> is your current year of study?</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BD5-4D02-B579-1EA54CC142D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BD5-4D02-B579-1EA54CC142D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BD5-4D02-B579-1EA54CC142D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BD5-4D02-B579-1EA54CC142D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Sheet1!$A$33:$C$36</c:f>
              <c:multiLvlStrCache>
                <c:ptCount val="4"/>
                <c:lvl>
                  <c:pt idx="0">
                    <c:v>1st Year</c:v>
                  </c:pt>
                  <c:pt idx="1">
                    <c:v>2nd Year</c:v>
                  </c:pt>
                  <c:pt idx="2">
                    <c:v>3rd Year</c:v>
                  </c:pt>
                  <c:pt idx="3">
                    <c:v>4th Year</c:v>
                  </c:pt>
                </c:lvl>
                <c:lvl>
                  <c:pt idx="0">
                    <c:v>Year of study</c:v>
                  </c:pt>
                </c:lvl>
              </c:multiLvlStrCache>
            </c:multiLvlStrRef>
          </c:cat>
          <c:val>
            <c:numRef>
              <c:f>Sheet1!$D$33:$D$36</c:f>
              <c:numCache>
                <c:formatCode>General</c:formatCode>
                <c:ptCount val="4"/>
                <c:pt idx="0">
                  <c:v>7</c:v>
                </c:pt>
                <c:pt idx="1">
                  <c:v>4</c:v>
                </c:pt>
                <c:pt idx="2">
                  <c:v>5</c:v>
                </c:pt>
                <c:pt idx="3">
                  <c:v>5</c:v>
                </c:pt>
              </c:numCache>
            </c:numRef>
          </c:val>
          <c:extLst>
            <c:ext xmlns:c16="http://schemas.microsoft.com/office/drawing/2014/chart" uri="{C3380CC4-5D6E-409C-BE32-E72D297353CC}">
              <c16:uniqueId val="{00000008-3BD5-4D02-B579-1EA54CC142DA}"/>
            </c:ext>
          </c:extLst>
        </c:ser>
        <c:ser>
          <c:idx val="1"/>
          <c:order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3BD5-4D02-B579-1EA54CC142D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3BD5-4D02-B579-1EA54CC142D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3BD5-4D02-B579-1EA54CC142D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3BD5-4D02-B579-1EA54CC142D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Sheet1!$A$33:$C$36</c:f>
              <c:multiLvlStrCache>
                <c:ptCount val="4"/>
                <c:lvl>
                  <c:pt idx="0">
                    <c:v>1st Year</c:v>
                  </c:pt>
                  <c:pt idx="1">
                    <c:v>2nd Year</c:v>
                  </c:pt>
                  <c:pt idx="2">
                    <c:v>3rd Year</c:v>
                  </c:pt>
                  <c:pt idx="3">
                    <c:v>4th Year</c:v>
                  </c:pt>
                </c:lvl>
                <c:lvl>
                  <c:pt idx="0">
                    <c:v>Year of study</c:v>
                  </c:pt>
                </c:lvl>
              </c:multiLvlStrCache>
            </c:multiLvlStrRef>
          </c:cat>
          <c:val>
            <c:numRef>
              <c:f>Sheet1!$E$33:$E$36</c:f>
              <c:numCache>
                <c:formatCode>0%</c:formatCode>
                <c:ptCount val="4"/>
                <c:pt idx="0">
                  <c:v>0.33333333333333331</c:v>
                </c:pt>
                <c:pt idx="1">
                  <c:v>0.19047619047619047</c:v>
                </c:pt>
                <c:pt idx="2">
                  <c:v>0.23809523809523808</c:v>
                </c:pt>
                <c:pt idx="3">
                  <c:v>0.23809523809523808</c:v>
                </c:pt>
              </c:numCache>
            </c:numRef>
          </c:val>
          <c:extLst>
            <c:ext xmlns:c16="http://schemas.microsoft.com/office/drawing/2014/chart" uri="{C3380CC4-5D6E-409C-BE32-E72D297353CC}">
              <c16:uniqueId val="{00000011-3BD5-4D02-B579-1EA54CC142D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1">
                <a:solidFill>
                  <a:schemeClr val="tx1"/>
                </a:solidFill>
                <a:latin typeface="Times New Roman" panose="02020603050405020304" pitchFamily="18" charset="0"/>
                <a:cs typeface="Times New Roman" panose="02020603050405020304" pitchFamily="18" charset="0"/>
              </a:rPr>
              <a:t>Have</a:t>
            </a:r>
            <a:r>
              <a:rPr lang="en-US" sz="1800" b="1" baseline="0">
                <a:solidFill>
                  <a:schemeClr val="tx1"/>
                </a:solidFill>
                <a:latin typeface="Times New Roman" panose="02020603050405020304" pitchFamily="18" charset="0"/>
                <a:cs typeface="Times New Roman" panose="02020603050405020304" pitchFamily="18" charset="0"/>
              </a:rPr>
              <a:t> you used AI Tools for learning?</a:t>
            </a:r>
            <a:endParaRPr lang="en-US"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13-4C7A-89A3-A3F8BF617E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13-4C7A-89A3-A3F8BF617E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13-4C7A-89A3-A3F8BF617E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13-4C7A-89A3-A3F8BF617E90}"/>
              </c:ext>
            </c:extLst>
          </c:dPt>
          <c:dLbls>
            <c:dLbl>
              <c:idx val="3"/>
              <c:delete val="1"/>
              <c:extLst>
                <c:ext xmlns:c15="http://schemas.microsoft.com/office/drawing/2012/chart" uri="{CE6537A1-D6FC-4f65-9D91-7224C49458BB}"/>
                <c:ext xmlns:c16="http://schemas.microsoft.com/office/drawing/2014/chart" uri="{C3380CC4-5D6E-409C-BE32-E72D297353CC}">
                  <c16:uniqueId val="{00000007-9013-4C7A-89A3-A3F8BF617E9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Sheet1!$A$37:$C$40</c:f>
              <c:multiLvlStrCache>
                <c:ptCount val="4"/>
                <c:lvl>
                  <c:pt idx="0">
                    <c:v>Most Oftenly</c:v>
                  </c:pt>
                  <c:pt idx="1">
                    <c:v>Ocassionally</c:v>
                  </c:pt>
                  <c:pt idx="2">
                    <c:v>Rarely</c:v>
                  </c:pt>
                  <c:pt idx="3">
                    <c:v>Never</c:v>
                  </c:pt>
                </c:lvl>
                <c:lvl>
                  <c:pt idx="0">
                    <c:v>Usage Frequency</c:v>
                  </c:pt>
                </c:lvl>
              </c:multiLvlStrCache>
            </c:multiLvlStrRef>
          </c:cat>
          <c:val>
            <c:numRef>
              <c:f>Sheet1!$E$37:$E$40</c:f>
              <c:numCache>
                <c:formatCode>0%</c:formatCode>
                <c:ptCount val="4"/>
                <c:pt idx="0">
                  <c:v>0.80952380952380953</c:v>
                </c:pt>
                <c:pt idx="1">
                  <c:v>0.19047619047619047</c:v>
                </c:pt>
                <c:pt idx="2">
                  <c:v>0</c:v>
                </c:pt>
                <c:pt idx="3">
                  <c:v>0</c:v>
                </c:pt>
              </c:numCache>
            </c:numRef>
          </c:val>
          <c:extLst>
            <c:ext xmlns:c16="http://schemas.microsoft.com/office/drawing/2014/chart" uri="{C3380CC4-5D6E-409C-BE32-E72D297353CC}">
              <c16:uniqueId val="{00000008-9013-4C7A-89A3-A3F8BF617E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400">
                <a:latin typeface="Times New Roman" panose="02020603050405020304" pitchFamily="18" charset="0"/>
                <a:cs typeface="Times New Roman" panose="02020603050405020304" pitchFamily="18" charset="0"/>
              </a:rPr>
              <a:t>Which</a:t>
            </a:r>
            <a:r>
              <a:rPr lang="en-US" sz="1400" baseline="0">
                <a:latin typeface="Times New Roman" panose="02020603050405020304" pitchFamily="18" charset="0"/>
                <a:cs typeface="Times New Roman" panose="02020603050405020304" pitchFamily="18" charset="0"/>
              </a:rPr>
              <a:t> AI Teaching/Learning Tools have you used?</a:t>
            </a:r>
            <a:endParaRPr lang="en-US" sz="14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bar"/>
        <c:grouping val="clustered"/>
        <c:varyColors val="0"/>
        <c:ser>
          <c:idx val="0"/>
          <c:order val="0"/>
          <c:tx>
            <c:v>Number of responses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Sheet1!$A$48:$C$54</c:f>
              <c:multiLvlStrCache>
                <c:ptCount val="7"/>
                <c:lvl>
                  <c:pt idx="0">
                    <c:v>ChatGPT</c:v>
                  </c:pt>
                  <c:pt idx="1">
                    <c:v>Google Gemini/Bard</c:v>
                  </c:pt>
                  <c:pt idx="2">
                    <c:v>Khan Academy</c:v>
                  </c:pt>
                  <c:pt idx="3">
                    <c:v>Grammarly</c:v>
                  </c:pt>
                  <c:pt idx="4">
                    <c:v>University LMS AI Features</c:v>
                  </c:pt>
                  <c:pt idx="5">
                    <c:v>Youtube AI</c:v>
                  </c:pt>
                  <c:pt idx="6">
                    <c:v>Others</c:v>
                  </c:pt>
                </c:lvl>
                <c:lvl>
                  <c:pt idx="0">
                    <c:v>AI and LearningTools Used</c:v>
                  </c:pt>
                </c:lvl>
              </c:multiLvlStrCache>
            </c:multiLvlStrRef>
          </c:cat>
          <c:val>
            <c:numRef>
              <c:f>Sheet1!$D$48:$D$54</c:f>
              <c:numCache>
                <c:formatCode>General</c:formatCode>
                <c:ptCount val="7"/>
                <c:pt idx="0">
                  <c:v>21</c:v>
                </c:pt>
                <c:pt idx="1">
                  <c:v>11</c:v>
                </c:pt>
                <c:pt idx="2">
                  <c:v>1</c:v>
                </c:pt>
                <c:pt idx="3">
                  <c:v>2</c:v>
                </c:pt>
                <c:pt idx="4">
                  <c:v>1</c:v>
                </c:pt>
                <c:pt idx="5">
                  <c:v>4</c:v>
                </c:pt>
                <c:pt idx="6">
                  <c:v>6</c:v>
                </c:pt>
              </c:numCache>
            </c:numRef>
          </c:val>
          <c:extLst>
            <c:ext xmlns:c16="http://schemas.microsoft.com/office/drawing/2014/chart" uri="{C3380CC4-5D6E-409C-BE32-E72D297353CC}">
              <c16:uniqueId val="{00000000-92A3-47F4-AB21-05F8E41D9561}"/>
            </c:ext>
          </c:extLst>
        </c:ser>
        <c:ser>
          <c:idx val="1"/>
          <c:order val="1"/>
          <c:tx>
            <c:v>Percentage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Sheet1!$A$48:$C$54</c:f>
              <c:multiLvlStrCache>
                <c:ptCount val="7"/>
                <c:lvl>
                  <c:pt idx="0">
                    <c:v>ChatGPT</c:v>
                  </c:pt>
                  <c:pt idx="1">
                    <c:v>Google Gemini/Bard</c:v>
                  </c:pt>
                  <c:pt idx="2">
                    <c:v>Khan Academy</c:v>
                  </c:pt>
                  <c:pt idx="3">
                    <c:v>Grammarly</c:v>
                  </c:pt>
                  <c:pt idx="4">
                    <c:v>University LMS AI Features</c:v>
                  </c:pt>
                  <c:pt idx="5">
                    <c:v>Youtube AI</c:v>
                  </c:pt>
                  <c:pt idx="6">
                    <c:v>Others</c:v>
                  </c:pt>
                </c:lvl>
                <c:lvl>
                  <c:pt idx="0">
                    <c:v>AI and LearningTools Used</c:v>
                  </c:pt>
                </c:lvl>
              </c:multiLvlStrCache>
            </c:multiLvlStrRef>
          </c:cat>
          <c:val>
            <c:numRef>
              <c:f>Sheet1!$E$48:$E$54</c:f>
              <c:numCache>
                <c:formatCode>0%</c:formatCode>
                <c:ptCount val="7"/>
                <c:pt idx="0">
                  <c:v>1</c:v>
                </c:pt>
                <c:pt idx="1">
                  <c:v>0.52380952380952384</c:v>
                </c:pt>
                <c:pt idx="2">
                  <c:v>4.7619047619047616E-2</c:v>
                </c:pt>
                <c:pt idx="3">
                  <c:v>9.5238095238095233E-2</c:v>
                </c:pt>
                <c:pt idx="4">
                  <c:v>4.7619047619047616E-2</c:v>
                </c:pt>
                <c:pt idx="5">
                  <c:v>0.19047619047619047</c:v>
                </c:pt>
                <c:pt idx="6">
                  <c:v>0.2857142857142857</c:v>
                </c:pt>
              </c:numCache>
            </c:numRef>
          </c:val>
          <c:extLst>
            <c:ext xmlns:c16="http://schemas.microsoft.com/office/drawing/2014/chart" uri="{C3380CC4-5D6E-409C-BE32-E72D297353CC}">
              <c16:uniqueId val="{00000001-92A3-47F4-AB21-05F8E41D9561}"/>
            </c:ext>
          </c:extLst>
        </c:ser>
        <c:dLbls>
          <c:dLblPos val="outEnd"/>
          <c:showLegendKey val="0"/>
          <c:showVal val="1"/>
          <c:showCatName val="0"/>
          <c:showSerName val="0"/>
          <c:showPercent val="0"/>
          <c:showBubbleSize val="0"/>
        </c:dLbls>
        <c:gapWidth val="115"/>
        <c:overlap val="-20"/>
        <c:axId val="348434384"/>
        <c:axId val="280809728"/>
      </c:barChart>
      <c:catAx>
        <c:axId val="3484343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0809728"/>
        <c:crosses val="autoZero"/>
        <c:auto val="1"/>
        <c:lblAlgn val="ctr"/>
        <c:lblOffset val="100"/>
        <c:noMultiLvlLbl val="0"/>
      </c:catAx>
      <c:valAx>
        <c:axId val="2808097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8434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stacked"/>
        <c:varyColors val="0"/>
        <c:ser>
          <c:idx val="0"/>
          <c:order val="0"/>
          <c:tx>
            <c:strRef>
              <c:f>Sheet1!$G$3</c:f>
              <c:strCache>
                <c:ptCount val="1"/>
                <c:pt idx="0">
                  <c:v>On a scale of 1-5, how effective do you find HUMAN TEACHERS for learning?</c:v>
                </c:pt>
              </c:strCache>
            </c:strRef>
          </c:tx>
          <c:spPr>
            <a:solidFill>
              <a:schemeClr val="accent1"/>
            </a:solidFill>
            <a:ln>
              <a:noFill/>
            </a:ln>
            <a:effectLst/>
          </c:spPr>
          <c:invertIfNegative val="0"/>
          <c:val>
            <c:numRef>
              <c:f>Sheet1!$G$4:$G$24</c:f>
              <c:numCache>
                <c:formatCode>General</c:formatCode>
                <c:ptCount val="21"/>
                <c:pt idx="0">
                  <c:v>4</c:v>
                </c:pt>
                <c:pt idx="1">
                  <c:v>5</c:v>
                </c:pt>
                <c:pt idx="2">
                  <c:v>4</c:v>
                </c:pt>
                <c:pt idx="3">
                  <c:v>4</c:v>
                </c:pt>
                <c:pt idx="4">
                  <c:v>1</c:v>
                </c:pt>
                <c:pt idx="5">
                  <c:v>4</c:v>
                </c:pt>
                <c:pt idx="6">
                  <c:v>4</c:v>
                </c:pt>
                <c:pt idx="7">
                  <c:v>4</c:v>
                </c:pt>
                <c:pt idx="8">
                  <c:v>4</c:v>
                </c:pt>
                <c:pt idx="9">
                  <c:v>4</c:v>
                </c:pt>
                <c:pt idx="10">
                  <c:v>3</c:v>
                </c:pt>
                <c:pt idx="11">
                  <c:v>4</c:v>
                </c:pt>
                <c:pt idx="12">
                  <c:v>4</c:v>
                </c:pt>
                <c:pt idx="13">
                  <c:v>4</c:v>
                </c:pt>
                <c:pt idx="14">
                  <c:v>3</c:v>
                </c:pt>
                <c:pt idx="15">
                  <c:v>4</c:v>
                </c:pt>
                <c:pt idx="16">
                  <c:v>5</c:v>
                </c:pt>
                <c:pt idx="17">
                  <c:v>3</c:v>
                </c:pt>
                <c:pt idx="18">
                  <c:v>3</c:v>
                </c:pt>
                <c:pt idx="19">
                  <c:v>4</c:v>
                </c:pt>
                <c:pt idx="20">
                  <c:v>4</c:v>
                </c:pt>
              </c:numCache>
            </c:numRef>
          </c:val>
          <c:extLst>
            <c:ext xmlns:c16="http://schemas.microsoft.com/office/drawing/2014/chart" uri="{C3380CC4-5D6E-409C-BE32-E72D297353CC}">
              <c16:uniqueId val="{00000000-6465-4D3F-B310-D976D9FCE561}"/>
            </c:ext>
          </c:extLst>
        </c:ser>
        <c:dLbls>
          <c:showLegendKey val="0"/>
          <c:showVal val="0"/>
          <c:showCatName val="0"/>
          <c:showSerName val="0"/>
          <c:showPercent val="0"/>
          <c:showBubbleSize val="0"/>
        </c:dLbls>
        <c:gapWidth val="150"/>
        <c:overlap val="100"/>
        <c:axId val="514161824"/>
        <c:axId val="514165152"/>
      </c:barChart>
      <c:catAx>
        <c:axId val="5141618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65152"/>
        <c:crosses val="autoZero"/>
        <c:auto val="1"/>
        <c:lblAlgn val="ctr"/>
        <c:lblOffset val="100"/>
        <c:noMultiLvlLbl val="0"/>
      </c:catAx>
      <c:valAx>
        <c:axId val="51416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161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On</a:t>
            </a:r>
            <a:r>
              <a:rPr lang="en-US" b="1" baseline="0">
                <a:latin typeface="Times New Roman" panose="02020603050405020304" pitchFamily="18" charset="0"/>
                <a:cs typeface="Times New Roman" panose="02020603050405020304" pitchFamily="18" charset="0"/>
              </a:rPr>
              <a:t> a scale of 1-5, how effective do you find AI Tools for learning?</a:t>
            </a:r>
            <a:endParaRPr lang="en-US" b="1">
              <a:latin typeface="Times New Roman" panose="02020603050405020304" pitchFamily="18" charset="0"/>
              <a:cs typeface="Times New Roman" panose="02020603050405020304" pitchFamily="18" charset="0"/>
            </a:endParaRPr>
          </a:p>
        </c:rich>
      </c:tx>
      <c:layout>
        <c:manualLayout>
          <c:xMode val="edge"/>
          <c:yMode val="edge"/>
          <c:x val="0.10494103153900645"/>
          <c:y val="3.5496401098152441E-2"/>
        </c:manualLayout>
      </c:layout>
      <c:overlay val="0"/>
      <c:spPr>
        <a:noFill/>
        <a:ln>
          <a:noFill/>
        </a:ln>
        <a:effectLst/>
      </c:spPr>
      <c:txPr>
        <a:bodyPr rot="0" spcFirstLastPara="1" vertOverflow="ellipsis" vert="horz" wrap="square" anchor="ctr" anchorCtr="1"/>
        <a:lstStyle/>
        <a:p>
          <a:pPr>
            <a:defRPr sz="1800" b="1" i="0" u="none" strike="noStrike" kern="1200" cap="none" spc="5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bar"/>
        <c:grouping val="clustered"/>
        <c:varyColors val="0"/>
        <c:ser>
          <c:idx val="0"/>
          <c:order val="0"/>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Sheet1!$H$4:$H$24</c:f>
              <c:numCache>
                <c:formatCode>General</c:formatCode>
                <c:ptCount val="21"/>
                <c:pt idx="0">
                  <c:v>4</c:v>
                </c:pt>
                <c:pt idx="1">
                  <c:v>4</c:v>
                </c:pt>
                <c:pt idx="2">
                  <c:v>4</c:v>
                </c:pt>
                <c:pt idx="3">
                  <c:v>5</c:v>
                </c:pt>
                <c:pt idx="4">
                  <c:v>3</c:v>
                </c:pt>
                <c:pt idx="5">
                  <c:v>5</c:v>
                </c:pt>
                <c:pt idx="6">
                  <c:v>4</c:v>
                </c:pt>
                <c:pt idx="7">
                  <c:v>5</c:v>
                </c:pt>
                <c:pt idx="8">
                  <c:v>5</c:v>
                </c:pt>
                <c:pt idx="9">
                  <c:v>3</c:v>
                </c:pt>
                <c:pt idx="10">
                  <c:v>4</c:v>
                </c:pt>
                <c:pt idx="11">
                  <c:v>3</c:v>
                </c:pt>
                <c:pt idx="12">
                  <c:v>4</c:v>
                </c:pt>
                <c:pt idx="13">
                  <c:v>5</c:v>
                </c:pt>
                <c:pt idx="14">
                  <c:v>3</c:v>
                </c:pt>
                <c:pt idx="15">
                  <c:v>3</c:v>
                </c:pt>
                <c:pt idx="16">
                  <c:v>4</c:v>
                </c:pt>
                <c:pt idx="17">
                  <c:v>3</c:v>
                </c:pt>
                <c:pt idx="18">
                  <c:v>4</c:v>
                </c:pt>
                <c:pt idx="19">
                  <c:v>2</c:v>
                </c:pt>
                <c:pt idx="20">
                  <c:v>3</c:v>
                </c:pt>
              </c:numCache>
            </c:numRef>
          </c:val>
          <c:extLst>
            <c:ext xmlns:c16="http://schemas.microsoft.com/office/drawing/2014/chart" uri="{C3380CC4-5D6E-409C-BE32-E72D297353CC}">
              <c16:uniqueId val="{00000000-A05F-493A-9F3E-FEA524585DE3}"/>
            </c:ext>
          </c:extLst>
        </c:ser>
        <c:dLbls>
          <c:dLblPos val="outEnd"/>
          <c:showLegendKey val="0"/>
          <c:showVal val="1"/>
          <c:showCatName val="0"/>
          <c:showSerName val="0"/>
          <c:showPercent val="0"/>
          <c:showBubbleSize val="0"/>
        </c:dLbls>
        <c:gapWidth val="227"/>
        <c:overlap val="-48"/>
        <c:axId val="837208239"/>
        <c:axId val="837208655"/>
      </c:barChart>
      <c:catAx>
        <c:axId val="837208239"/>
        <c:scaling>
          <c:orientation val="minMax"/>
        </c:scaling>
        <c:delete val="0"/>
        <c:axPos val="l"/>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7208655"/>
        <c:crosses val="autoZero"/>
        <c:auto val="1"/>
        <c:lblAlgn val="ctr"/>
        <c:lblOffset val="100"/>
        <c:noMultiLvlLbl val="0"/>
      </c:catAx>
      <c:valAx>
        <c:axId val="837208655"/>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37208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For</a:t>
            </a:r>
            <a:r>
              <a:rPr lang="en-US" baseline="0">
                <a:latin typeface="Times New Roman" panose="02020603050405020304" pitchFamily="18" charset="0"/>
                <a:cs typeface="Times New Roman" panose="02020603050405020304" pitchFamily="18" charset="0"/>
              </a:rPr>
              <a:t> understanding complex subjects what do you prefer?</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12F-4F52-B73A-3C810258288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12F-4F52-B73A-3C810258288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12F-4F52-B73A-3C810258288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12F-4F52-B73A-3C810258288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12F-4F52-B73A-3C810258288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Sheet1!$A$43:$C$47</c:f>
              <c:multiLvlStrCache>
                <c:ptCount val="5"/>
                <c:lvl>
                  <c:pt idx="0">
                    <c:v>Strongly prefer Human</c:v>
                  </c:pt>
                  <c:pt idx="1">
                    <c:v>Somewhat prefer Human</c:v>
                  </c:pt>
                  <c:pt idx="2">
                    <c:v>No preference</c:v>
                  </c:pt>
                  <c:pt idx="3">
                    <c:v>Somewhat prefer AI</c:v>
                  </c:pt>
                  <c:pt idx="4">
                    <c:v>Strongly prefer AI</c:v>
                  </c:pt>
                </c:lvl>
                <c:lvl>
                  <c:pt idx="0">
                    <c:v>Learning preference</c:v>
                  </c:pt>
                </c:lvl>
              </c:multiLvlStrCache>
            </c:multiLvlStrRef>
          </c:cat>
          <c:val>
            <c:numRef>
              <c:f>Sheet1!$D$43:$D$47</c:f>
              <c:numCache>
                <c:formatCode>General</c:formatCode>
                <c:ptCount val="5"/>
                <c:pt idx="0">
                  <c:v>5</c:v>
                </c:pt>
                <c:pt idx="1">
                  <c:v>7</c:v>
                </c:pt>
                <c:pt idx="2">
                  <c:v>4</c:v>
                </c:pt>
                <c:pt idx="3">
                  <c:v>4</c:v>
                </c:pt>
                <c:pt idx="4">
                  <c:v>1</c:v>
                </c:pt>
              </c:numCache>
            </c:numRef>
          </c:val>
          <c:extLst>
            <c:ext xmlns:c16="http://schemas.microsoft.com/office/drawing/2014/chart" uri="{C3380CC4-5D6E-409C-BE32-E72D297353CC}">
              <c16:uniqueId val="{00000000-C22A-4957-A3F5-783FE44DED87}"/>
            </c:ext>
          </c:extLst>
        </c:ser>
        <c:ser>
          <c:idx val="1"/>
          <c:order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12F-4F52-B73A-3C810258288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12F-4F52-B73A-3C810258288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12F-4F52-B73A-3C810258288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12F-4F52-B73A-3C8102582880}"/>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12F-4F52-B73A-3C810258288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Sheet1!$A$43:$C$47</c:f>
              <c:multiLvlStrCache>
                <c:ptCount val="5"/>
                <c:lvl>
                  <c:pt idx="0">
                    <c:v>Strongly prefer Human</c:v>
                  </c:pt>
                  <c:pt idx="1">
                    <c:v>Somewhat prefer Human</c:v>
                  </c:pt>
                  <c:pt idx="2">
                    <c:v>No preference</c:v>
                  </c:pt>
                  <c:pt idx="3">
                    <c:v>Somewhat prefer AI</c:v>
                  </c:pt>
                  <c:pt idx="4">
                    <c:v>Strongly prefer AI</c:v>
                  </c:pt>
                </c:lvl>
                <c:lvl>
                  <c:pt idx="0">
                    <c:v>Learning preference</c:v>
                  </c:pt>
                </c:lvl>
              </c:multiLvlStrCache>
            </c:multiLvlStrRef>
          </c:cat>
          <c:val>
            <c:numRef>
              <c:f>Sheet1!$E$43:$E$47</c:f>
              <c:numCache>
                <c:formatCode>0%</c:formatCode>
                <c:ptCount val="5"/>
                <c:pt idx="0">
                  <c:v>0.23809523809523808</c:v>
                </c:pt>
                <c:pt idx="1">
                  <c:v>0.33333333333333331</c:v>
                </c:pt>
                <c:pt idx="2">
                  <c:v>0.19047619047619047</c:v>
                </c:pt>
                <c:pt idx="3">
                  <c:v>0.19047619047619047</c:v>
                </c:pt>
                <c:pt idx="4">
                  <c:v>4.7619047619047616E-2</c:v>
                </c:pt>
              </c:numCache>
            </c:numRef>
          </c:val>
          <c:extLst>
            <c:ext xmlns:c16="http://schemas.microsoft.com/office/drawing/2014/chart" uri="{C3380CC4-5D6E-409C-BE32-E72D297353CC}">
              <c16:uniqueId val="{00000001-C22A-4957-A3F5-783FE44DED87}"/>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Most</a:t>
            </a:r>
            <a:r>
              <a:rPr lang="en-US" baseline="0"/>
              <a:t> </a:t>
            </a:r>
            <a:r>
              <a:rPr lang="en-US" sz="1800" b="1" i="0" u="none" strike="noStrike" baseline="0"/>
              <a:t>P</a:t>
            </a:r>
            <a:r>
              <a:rPr lang="en-US" baseline="0"/>
              <a:t>o</a:t>
            </a:r>
            <a:r>
              <a:rPr lang="en-US" sz="1800" b="1" i="0" u="none" strike="noStrike" baseline="0"/>
              <a:t>p</a:t>
            </a:r>
            <a:r>
              <a:rPr lang="en-US" baseline="0"/>
              <a:t>ular AI Tools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3EB-4CD4-9617-2D31696152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EB-4CD4-9617-2D316961521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3EB-4CD4-9617-2D316961521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3EB-4CD4-9617-2D316961521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3EB-4CD4-9617-2D316961521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3EB-4CD4-9617-2D316961521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3EB-4CD4-9617-2D316961521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Sheet1!$C$48:$C$54</c:f>
              <c:strCache>
                <c:ptCount val="7"/>
                <c:pt idx="0">
                  <c:v>ChatGPT</c:v>
                </c:pt>
                <c:pt idx="1">
                  <c:v>Google Gemini/Bard</c:v>
                </c:pt>
                <c:pt idx="2">
                  <c:v>Khan Academy</c:v>
                </c:pt>
                <c:pt idx="3">
                  <c:v>Grammarly</c:v>
                </c:pt>
                <c:pt idx="4">
                  <c:v>University LMS AI Features</c:v>
                </c:pt>
                <c:pt idx="5">
                  <c:v>Youtube AI</c:v>
                </c:pt>
                <c:pt idx="6">
                  <c:v>Others</c:v>
                </c:pt>
              </c:strCache>
            </c:strRef>
          </c:cat>
          <c:val>
            <c:numRef>
              <c:f>Sheet1!$D$48:$D$54</c:f>
              <c:numCache>
                <c:formatCode>General</c:formatCode>
                <c:ptCount val="7"/>
                <c:pt idx="0">
                  <c:v>21</c:v>
                </c:pt>
                <c:pt idx="1">
                  <c:v>11</c:v>
                </c:pt>
                <c:pt idx="2">
                  <c:v>1</c:v>
                </c:pt>
                <c:pt idx="3">
                  <c:v>2</c:v>
                </c:pt>
                <c:pt idx="4">
                  <c:v>1</c:v>
                </c:pt>
                <c:pt idx="5">
                  <c:v>4</c:v>
                </c:pt>
                <c:pt idx="6">
                  <c:v>6</c:v>
                </c:pt>
              </c:numCache>
            </c:numRef>
          </c:val>
          <c:extLst>
            <c:ext xmlns:c16="http://schemas.microsoft.com/office/drawing/2014/chart" uri="{C3380CC4-5D6E-409C-BE32-E72D297353CC}">
              <c16:uniqueId val="{00000000-AB95-477B-8999-2EE6C93E24F6}"/>
            </c:ext>
          </c:extLst>
        </c:ser>
        <c:ser>
          <c:idx val="1"/>
          <c:order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3EB-4CD4-9617-2D31696152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3EB-4CD4-9617-2D316961521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3EB-4CD4-9617-2D316961521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B3EB-4CD4-9617-2D316961521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3EB-4CD4-9617-2D316961521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B3EB-4CD4-9617-2D316961521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B3EB-4CD4-9617-2D316961521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Sheet1!$C$48:$C$54</c:f>
              <c:strCache>
                <c:ptCount val="7"/>
                <c:pt idx="0">
                  <c:v>ChatGPT</c:v>
                </c:pt>
                <c:pt idx="1">
                  <c:v>Google Gemini/Bard</c:v>
                </c:pt>
                <c:pt idx="2">
                  <c:v>Khan Academy</c:v>
                </c:pt>
                <c:pt idx="3">
                  <c:v>Grammarly</c:v>
                </c:pt>
                <c:pt idx="4">
                  <c:v>University LMS AI Features</c:v>
                </c:pt>
                <c:pt idx="5">
                  <c:v>Youtube AI</c:v>
                </c:pt>
                <c:pt idx="6">
                  <c:v>Others</c:v>
                </c:pt>
              </c:strCache>
            </c:strRef>
          </c:cat>
          <c:val>
            <c:numRef>
              <c:f>Sheet1!$E$48:$E$54</c:f>
              <c:numCache>
                <c:formatCode>0%</c:formatCode>
                <c:ptCount val="7"/>
                <c:pt idx="0">
                  <c:v>1</c:v>
                </c:pt>
                <c:pt idx="1">
                  <c:v>0.52380952380952384</c:v>
                </c:pt>
                <c:pt idx="2">
                  <c:v>4.7619047619047616E-2</c:v>
                </c:pt>
                <c:pt idx="3">
                  <c:v>9.5238095238095233E-2</c:v>
                </c:pt>
                <c:pt idx="4">
                  <c:v>4.7619047619047616E-2</c:v>
                </c:pt>
                <c:pt idx="5">
                  <c:v>0.19047619047619047</c:v>
                </c:pt>
                <c:pt idx="6">
                  <c:v>0.2857142857142857</c:v>
                </c:pt>
              </c:numCache>
            </c:numRef>
          </c:val>
          <c:extLst>
            <c:ext xmlns:c16="http://schemas.microsoft.com/office/drawing/2014/chart" uri="{C3380CC4-5D6E-409C-BE32-E72D297353CC}">
              <c16:uniqueId val="{00000001-AB95-477B-8999-2EE6C93E24F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Learning</a:t>
            </a:r>
            <a:r>
              <a:rPr lang="en-US" baseline="0"/>
              <a:t> </a:t>
            </a:r>
            <a:r>
              <a:rPr lang="en-US" sz="1800" b="1" i="0" u="none" strike="noStrike" baseline="0"/>
              <a:t>preference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5">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7D5-4FBD-A1D2-1D474E77BB80}"/>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7D5-4FBD-A1D2-1D474E77BB80}"/>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7D5-4FBD-A1D2-1D474E77BB80}"/>
              </c:ext>
            </c:extLst>
          </c:dPt>
          <c:dPt>
            <c:idx val="3"/>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7D5-4FBD-A1D2-1D474E77BB80}"/>
              </c:ext>
            </c:extLst>
          </c:dPt>
          <c:dPt>
            <c:idx val="4"/>
            <c:bubble3D val="0"/>
            <c:spPr>
              <a:solidFill>
                <a:schemeClr val="accent5">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7D5-4FBD-A1D2-1D474E77BB8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Sheet1!$A$43:$C$47</c:f>
              <c:multiLvlStrCache>
                <c:ptCount val="5"/>
                <c:lvl>
                  <c:pt idx="0">
                    <c:v>Strongly prefer Human</c:v>
                  </c:pt>
                  <c:pt idx="1">
                    <c:v>Somewhat prefer Human</c:v>
                  </c:pt>
                  <c:pt idx="2">
                    <c:v>No preference</c:v>
                  </c:pt>
                  <c:pt idx="3">
                    <c:v>Somewhat prefer AI</c:v>
                  </c:pt>
                  <c:pt idx="4">
                    <c:v>Strongly prefer AI</c:v>
                  </c:pt>
                </c:lvl>
                <c:lvl>
                  <c:pt idx="0">
                    <c:v>Learning preference</c:v>
                  </c:pt>
                </c:lvl>
              </c:multiLvlStrCache>
            </c:multiLvlStrRef>
          </c:cat>
          <c:val>
            <c:numRef>
              <c:f>Sheet1!$D$43:$D$47</c:f>
              <c:numCache>
                <c:formatCode>General</c:formatCode>
                <c:ptCount val="5"/>
                <c:pt idx="0">
                  <c:v>5</c:v>
                </c:pt>
                <c:pt idx="1">
                  <c:v>7</c:v>
                </c:pt>
                <c:pt idx="2">
                  <c:v>4</c:v>
                </c:pt>
                <c:pt idx="3">
                  <c:v>4</c:v>
                </c:pt>
                <c:pt idx="4">
                  <c:v>1</c:v>
                </c:pt>
              </c:numCache>
            </c:numRef>
          </c:val>
          <c:extLst>
            <c:ext xmlns:c16="http://schemas.microsoft.com/office/drawing/2014/chart" uri="{C3380CC4-5D6E-409C-BE32-E72D297353CC}">
              <c16:uniqueId val="{00000000-42A2-4EA2-9EFD-F35327A5D4F9}"/>
            </c:ext>
          </c:extLst>
        </c:ser>
        <c:ser>
          <c:idx val="1"/>
          <c:order val="1"/>
          <c:dPt>
            <c:idx val="0"/>
            <c:bubble3D val="0"/>
            <c:spPr>
              <a:solidFill>
                <a:schemeClr val="accent5">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7D5-4FBD-A1D2-1D474E77BB80}"/>
              </c:ext>
            </c:extLst>
          </c:dPt>
          <c:dPt>
            <c:idx val="1"/>
            <c:bubble3D val="0"/>
            <c:spPr>
              <a:solidFill>
                <a:schemeClr val="accent5">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E7D5-4FBD-A1D2-1D474E77BB80}"/>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E7D5-4FBD-A1D2-1D474E77BB80}"/>
              </c:ext>
            </c:extLst>
          </c:dPt>
          <c:dPt>
            <c:idx val="3"/>
            <c:bubble3D val="0"/>
            <c:spPr>
              <a:solidFill>
                <a:schemeClr val="accent5">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E7D5-4FBD-A1D2-1D474E77BB80}"/>
              </c:ext>
            </c:extLst>
          </c:dPt>
          <c:dPt>
            <c:idx val="4"/>
            <c:bubble3D val="0"/>
            <c:spPr>
              <a:solidFill>
                <a:schemeClr val="accent5">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E7D5-4FBD-A1D2-1D474E77BB8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multiLvlStrRef>
              <c:f>Sheet1!$A$43:$C$47</c:f>
              <c:multiLvlStrCache>
                <c:ptCount val="5"/>
                <c:lvl>
                  <c:pt idx="0">
                    <c:v>Strongly prefer Human</c:v>
                  </c:pt>
                  <c:pt idx="1">
                    <c:v>Somewhat prefer Human</c:v>
                  </c:pt>
                  <c:pt idx="2">
                    <c:v>No preference</c:v>
                  </c:pt>
                  <c:pt idx="3">
                    <c:v>Somewhat prefer AI</c:v>
                  </c:pt>
                  <c:pt idx="4">
                    <c:v>Strongly prefer AI</c:v>
                  </c:pt>
                </c:lvl>
                <c:lvl>
                  <c:pt idx="0">
                    <c:v>Learning preference</c:v>
                  </c:pt>
                </c:lvl>
              </c:multiLvlStrCache>
            </c:multiLvlStrRef>
          </c:cat>
          <c:val>
            <c:numRef>
              <c:f>Sheet1!$E$43:$E$47</c:f>
              <c:numCache>
                <c:formatCode>0%</c:formatCode>
                <c:ptCount val="5"/>
                <c:pt idx="0">
                  <c:v>0.23809523809523808</c:v>
                </c:pt>
                <c:pt idx="1">
                  <c:v>0.33333333333333331</c:v>
                </c:pt>
                <c:pt idx="2">
                  <c:v>0.19047619047619047</c:v>
                </c:pt>
                <c:pt idx="3">
                  <c:v>0.19047619047619047</c:v>
                </c:pt>
                <c:pt idx="4">
                  <c:v>4.7619047619047616E-2</c:v>
                </c:pt>
              </c:numCache>
            </c:numRef>
          </c:val>
          <c:extLst>
            <c:ext xmlns:c16="http://schemas.microsoft.com/office/drawing/2014/chart" uri="{C3380CC4-5D6E-409C-BE32-E72D297353CC}">
              <c16:uniqueId val="{00000001-42A2-4EA2-9EFD-F35327A5D4F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lt1">
                <a:lumMod val="75000"/>
                <a:alpha val="36000"/>
              </a:schemeClr>
            </a:gs>
            <a:gs pos="100000">
              <a:schemeClr val="dk1">
                <a:lumMod val="95000"/>
                <a:lumOff val="5000"/>
                <a:alpha val="42000"/>
              </a:schemeClr>
            </a:gs>
          </a:gsLst>
          <a:lin ang="5400000" scaled="0"/>
        </a:gradFill>
        <a:round/>
      </a:ln>
    </cs:spPr>
  </cs:gridlineMajor>
  <cs:gridlineMinor>
    <cs:lnRef idx="0"/>
    <cs:fillRef idx="0"/>
    <cs:effectRef idx="0"/>
    <cs:fontRef idx="minor">
      <a:schemeClr val="dk1"/>
    </cs:fontRef>
    <cs:spPr>
      <a:ln>
        <a:gradFill>
          <a:gsLst>
            <a:gs pos="0">
              <a:schemeClr val="lt1">
                <a:lumMod val="75000"/>
                <a:alpha val="36000"/>
              </a:schemeClr>
            </a:gs>
            <a:gs pos="100000">
              <a:schemeClr val="dk1">
                <a:lumMod val="95000"/>
                <a:lumOff val="5000"/>
                <a:alpha val="42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46664</xdr:colOff>
      <xdr:row>58</xdr:row>
      <xdr:rowOff>139898</xdr:rowOff>
    </xdr:from>
    <xdr:to>
      <xdr:col>4</xdr:col>
      <xdr:colOff>713903</xdr:colOff>
      <xdr:row>73</xdr:row>
      <xdr:rowOff>26045</xdr:rowOff>
    </xdr:to>
    <xdr:graphicFrame macro="">
      <xdr:nvGraphicFramePr>
        <xdr:cNvPr id="6" name="图表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922795</xdr:colOff>
      <xdr:row>58</xdr:row>
      <xdr:rowOff>143866</xdr:rowOff>
    </xdr:from>
    <xdr:to>
      <xdr:col>7</xdr:col>
      <xdr:colOff>1287613</xdr:colOff>
      <xdr:row>73</xdr:row>
      <xdr:rowOff>30013</xdr:rowOff>
    </xdr:to>
    <xdr:graphicFrame macro="">
      <xdr:nvGraphicFramePr>
        <xdr:cNvPr id="7" name="图表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978035</xdr:colOff>
      <xdr:row>94</xdr:row>
      <xdr:rowOff>174873</xdr:rowOff>
    </xdr:from>
    <xdr:to>
      <xdr:col>5</xdr:col>
      <xdr:colOff>263819</xdr:colOff>
      <xdr:row>109</xdr:row>
      <xdr:rowOff>61019</xdr:rowOff>
    </xdr:to>
    <xdr:graphicFrame macro="">
      <xdr:nvGraphicFramePr>
        <xdr:cNvPr id="8" name="图表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1336876</xdr:colOff>
      <xdr:row>95</xdr:row>
      <xdr:rowOff>35719</xdr:rowOff>
    </xdr:from>
    <xdr:to>
      <xdr:col>9</xdr:col>
      <xdr:colOff>385661</xdr:colOff>
      <xdr:row>109</xdr:row>
      <xdr:rowOff>111621</xdr:rowOff>
    </xdr:to>
    <xdr:graphicFrame macro="">
      <xdr:nvGraphicFramePr>
        <xdr:cNvPr id="9" name="图表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1067591</xdr:colOff>
      <xdr:row>110</xdr:row>
      <xdr:rowOff>65086</xdr:rowOff>
    </xdr:from>
    <xdr:to>
      <xdr:col>7</xdr:col>
      <xdr:colOff>285748</xdr:colOff>
      <xdr:row>125</xdr:row>
      <xdr:rowOff>69848</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111124</xdr:colOff>
      <xdr:row>58</xdr:row>
      <xdr:rowOff>61119</xdr:rowOff>
    </xdr:from>
    <xdr:to>
      <xdr:col>11</xdr:col>
      <xdr:colOff>349249</xdr:colOff>
      <xdr:row>73</xdr:row>
      <xdr:rowOff>48759</xdr:rowOff>
    </xdr:to>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940593</xdr:colOff>
      <xdr:row>74</xdr:row>
      <xdr:rowOff>57152</xdr:rowOff>
    </xdr:from>
    <xdr:to>
      <xdr:col>5</xdr:col>
      <xdr:colOff>1369218</xdr:colOff>
      <xdr:row>88</xdr:row>
      <xdr:rowOff>133352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357187</xdr:colOff>
      <xdr:row>74</xdr:row>
      <xdr:rowOff>57150</xdr:rowOff>
    </xdr:from>
    <xdr:to>
      <xdr:col>9</xdr:col>
      <xdr:colOff>785812</xdr:colOff>
      <xdr:row>88</xdr:row>
      <xdr:rowOff>133350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nayabsultan5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4"/>
  <sheetViews>
    <sheetView tabSelected="1" topLeftCell="A60" zoomScale="80" zoomScaleNormal="80" workbookViewId="0">
      <selection activeCell="I42" sqref="I42"/>
    </sheetView>
  </sheetViews>
  <sheetFormatPr defaultColWidth="10" defaultRowHeight="15" x14ac:dyDescent="0.25"/>
  <cols>
    <col min="1" max="2" width="17.140625" customWidth="1"/>
    <col min="3" max="12" width="20.7109375" customWidth="1"/>
  </cols>
  <sheetData>
    <row r="1" spans="1:12" ht="15.75" thickTop="1" x14ac:dyDescent="0.25">
      <c r="A1" s="59" t="s">
        <v>116</v>
      </c>
      <c r="B1" s="55"/>
      <c r="C1" s="56"/>
      <c r="D1" s="56"/>
      <c r="E1" s="56"/>
      <c r="F1" s="56"/>
      <c r="G1" s="56"/>
      <c r="H1" s="56"/>
      <c r="I1" s="56"/>
      <c r="J1" s="56"/>
      <c r="K1" s="56"/>
      <c r="L1" s="57"/>
    </row>
    <row r="2" spans="1:12" ht="15.75" thickBot="1" x14ac:dyDescent="0.3">
      <c r="A2" s="60"/>
      <c r="B2" s="32"/>
      <c r="C2" s="32"/>
      <c r="D2" s="32"/>
      <c r="E2" s="32"/>
      <c r="F2" s="32"/>
      <c r="G2" s="32"/>
      <c r="H2" s="32"/>
      <c r="I2" s="32"/>
      <c r="J2" s="32"/>
      <c r="K2" s="32"/>
      <c r="L2" s="58"/>
    </row>
    <row r="3" spans="1:12" ht="99.95" customHeight="1" thickBot="1" x14ac:dyDescent="0.3">
      <c r="A3" s="1" t="s">
        <v>86</v>
      </c>
      <c r="B3" s="31" t="s">
        <v>123</v>
      </c>
      <c r="C3" s="27" t="s">
        <v>0</v>
      </c>
      <c r="D3" s="2" t="s">
        <v>1</v>
      </c>
      <c r="E3" s="2" t="s">
        <v>2</v>
      </c>
      <c r="F3" s="2" t="s">
        <v>3</v>
      </c>
      <c r="G3" s="2" t="s">
        <v>4</v>
      </c>
      <c r="H3" s="2" t="s">
        <v>5</v>
      </c>
      <c r="I3" s="2" t="s">
        <v>6</v>
      </c>
      <c r="J3" s="2" t="s">
        <v>7</v>
      </c>
      <c r="K3" s="2" t="s">
        <v>8</v>
      </c>
      <c r="L3" s="3" t="s">
        <v>9</v>
      </c>
    </row>
    <row r="4" spans="1:12" ht="114.75" customHeight="1" thickBot="1" x14ac:dyDescent="0.3">
      <c r="A4" s="4">
        <v>1</v>
      </c>
      <c r="B4" s="28" t="s">
        <v>124</v>
      </c>
      <c r="C4" s="5" t="s">
        <v>10</v>
      </c>
      <c r="D4" s="5" t="s">
        <v>11</v>
      </c>
      <c r="E4" s="5" t="s">
        <v>12</v>
      </c>
      <c r="F4" s="5" t="s">
        <v>13</v>
      </c>
      <c r="G4" s="5">
        <v>4</v>
      </c>
      <c r="H4" s="5">
        <v>4</v>
      </c>
      <c r="I4" s="5" t="s">
        <v>14</v>
      </c>
      <c r="J4" s="5" t="s">
        <v>15</v>
      </c>
      <c r="K4" s="5" t="s">
        <v>16</v>
      </c>
      <c r="L4" s="6" t="s">
        <v>17</v>
      </c>
    </row>
    <row r="5" spans="1:12" ht="167.25" customHeight="1" thickBot="1" x14ac:dyDescent="0.3">
      <c r="A5" s="7">
        <v>2</v>
      </c>
      <c r="B5" s="29" t="s">
        <v>125</v>
      </c>
      <c r="C5" s="8" t="s">
        <v>18</v>
      </c>
      <c r="D5" s="8" t="s">
        <v>19</v>
      </c>
      <c r="E5" s="8" t="s">
        <v>12</v>
      </c>
      <c r="F5" s="8" t="s">
        <v>20</v>
      </c>
      <c r="G5" s="8">
        <v>5</v>
      </c>
      <c r="H5" s="8">
        <v>4</v>
      </c>
      <c r="I5" s="8" t="s">
        <v>21</v>
      </c>
      <c r="J5" s="8" t="s">
        <v>22</v>
      </c>
      <c r="K5" s="8" t="s">
        <v>23</v>
      </c>
      <c r="L5" s="9" t="s">
        <v>24</v>
      </c>
    </row>
    <row r="6" spans="1:12" ht="250.5" customHeight="1" thickBot="1" x14ac:dyDescent="0.3">
      <c r="A6" s="10">
        <v>3</v>
      </c>
      <c r="B6" s="28" t="s">
        <v>126</v>
      </c>
      <c r="C6" s="11" t="s">
        <v>18</v>
      </c>
      <c r="D6" s="11" t="s">
        <v>25</v>
      </c>
      <c r="E6" s="11" t="s">
        <v>12</v>
      </c>
      <c r="F6" s="11" t="s">
        <v>26</v>
      </c>
      <c r="G6" s="11">
        <v>4</v>
      </c>
      <c r="H6" s="11">
        <v>4</v>
      </c>
      <c r="I6" s="11" t="s">
        <v>27</v>
      </c>
      <c r="J6" s="11" t="s">
        <v>28</v>
      </c>
      <c r="K6" s="11" t="s">
        <v>23</v>
      </c>
      <c r="L6" s="12" t="s">
        <v>29</v>
      </c>
    </row>
    <row r="7" spans="1:12" ht="180" customHeight="1" thickBot="1" x14ac:dyDescent="0.3">
      <c r="A7" s="7">
        <v>4</v>
      </c>
      <c r="B7" s="29" t="s">
        <v>127</v>
      </c>
      <c r="C7" s="8" t="s">
        <v>30</v>
      </c>
      <c r="D7" s="8" t="s">
        <v>121</v>
      </c>
      <c r="E7" s="8" t="s">
        <v>12</v>
      </c>
      <c r="F7" s="8" t="s">
        <v>31</v>
      </c>
      <c r="G7" s="8">
        <v>4</v>
      </c>
      <c r="H7" s="8">
        <v>5</v>
      </c>
      <c r="I7" s="8" t="s">
        <v>32</v>
      </c>
      <c r="J7" s="8" t="s">
        <v>22</v>
      </c>
      <c r="K7" s="8" t="s">
        <v>16</v>
      </c>
      <c r="L7" s="9" t="s">
        <v>33</v>
      </c>
    </row>
    <row r="8" spans="1:12" ht="312.75" customHeight="1" thickBot="1" x14ac:dyDescent="0.3">
      <c r="A8" s="10">
        <v>5</v>
      </c>
      <c r="B8" s="28" t="s">
        <v>128</v>
      </c>
      <c r="C8" s="11" t="s">
        <v>30</v>
      </c>
      <c r="D8" s="11" t="s">
        <v>122</v>
      </c>
      <c r="E8" s="11" t="s">
        <v>34</v>
      </c>
      <c r="F8" s="11" t="s">
        <v>31</v>
      </c>
      <c r="G8" s="11">
        <v>1</v>
      </c>
      <c r="H8" s="11">
        <v>3</v>
      </c>
      <c r="I8" s="11" t="s">
        <v>35</v>
      </c>
      <c r="J8" s="11" t="s">
        <v>22</v>
      </c>
      <c r="K8" s="11" t="s">
        <v>23</v>
      </c>
      <c r="L8" s="12" t="s">
        <v>36</v>
      </c>
    </row>
    <row r="9" spans="1:12" ht="171" customHeight="1" thickBot="1" x14ac:dyDescent="0.3">
      <c r="A9" s="7">
        <v>6</v>
      </c>
      <c r="B9" s="29" t="s">
        <v>129</v>
      </c>
      <c r="C9" s="8" t="s">
        <v>10</v>
      </c>
      <c r="D9" s="8" t="s">
        <v>37</v>
      </c>
      <c r="E9" s="8" t="s">
        <v>12</v>
      </c>
      <c r="F9" s="8" t="s">
        <v>38</v>
      </c>
      <c r="G9" s="8">
        <v>4</v>
      </c>
      <c r="H9" s="8">
        <v>5</v>
      </c>
      <c r="I9" s="8" t="s">
        <v>39</v>
      </c>
      <c r="J9" s="8" t="s">
        <v>40</v>
      </c>
      <c r="K9" s="8" t="s">
        <v>41</v>
      </c>
      <c r="L9" s="9" t="s">
        <v>42</v>
      </c>
    </row>
    <row r="10" spans="1:12" ht="165" customHeight="1" thickBot="1" x14ac:dyDescent="0.3">
      <c r="A10" s="10">
        <v>7</v>
      </c>
      <c r="B10" s="28" t="s">
        <v>130</v>
      </c>
      <c r="C10" s="11" t="s">
        <v>30</v>
      </c>
      <c r="D10" s="11" t="s">
        <v>43</v>
      </c>
      <c r="E10" s="11" t="s">
        <v>34</v>
      </c>
      <c r="F10" s="11" t="s">
        <v>38</v>
      </c>
      <c r="G10" s="11">
        <v>4</v>
      </c>
      <c r="H10" s="11">
        <v>4</v>
      </c>
      <c r="I10" s="11" t="s">
        <v>44</v>
      </c>
      <c r="J10" s="11" t="s">
        <v>45</v>
      </c>
      <c r="K10" s="11" t="s">
        <v>16</v>
      </c>
      <c r="L10" s="12" t="s">
        <v>46</v>
      </c>
    </row>
    <row r="11" spans="1:12" ht="75.75" customHeight="1" thickBot="1" x14ac:dyDescent="0.3">
      <c r="A11" s="7">
        <v>8</v>
      </c>
      <c r="B11" s="29" t="s">
        <v>131</v>
      </c>
      <c r="C11" s="8" t="s">
        <v>10</v>
      </c>
      <c r="D11" s="8" t="s">
        <v>99</v>
      </c>
      <c r="E11" s="8" t="s">
        <v>12</v>
      </c>
      <c r="F11" s="8" t="s">
        <v>38</v>
      </c>
      <c r="G11" s="8">
        <v>4</v>
      </c>
      <c r="H11" s="8">
        <v>5</v>
      </c>
      <c r="I11" s="8" t="s">
        <v>47</v>
      </c>
      <c r="J11" s="8" t="s">
        <v>15</v>
      </c>
      <c r="K11" s="8" t="s">
        <v>23</v>
      </c>
      <c r="L11" s="41" t="s">
        <v>146</v>
      </c>
    </row>
    <row r="12" spans="1:12" ht="76.5" customHeight="1" thickBot="1" x14ac:dyDescent="0.3">
      <c r="A12" s="10">
        <v>9</v>
      </c>
      <c r="B12" s="28" t="s">
        <v>132</v>
      </c>
      <c r="C12" s="11" t="s">
        <v>30</v>
      </c>
      <c r="D12" s="11" t="s">
        <v>48</v>
      </c>
      <c r="E12" s="11" t="s">
        <v>12</v>
      </c>
      <c r="F12" s="11" t="s">
        <v>31</v>
      </c>
      <c r="G12" s="11">
        <v>4</v>
      </c>
      <c r="H12" s="11">
        <v>5</v>
      </c>
      <c r="I12" s="11" t="s">
        <v>32</v>
      </c>
      <c r="J12" s="11" t="s">
        <v>45</v>
      </c>
      <c r="K12" s="11" t="s">
        <v>23</v>
      </c>
      <c r="L12" s="12" t="s">
        <v>49</v>
      </c>
    </row>
    <row r="13" spans="1:12" ht="248.25" customHeight="1" thickBot="1" x14ac:dyDescent="0.3">
      <c r="A13" s="7">
        <v>10</v>
      </c>
      <c r="B13" s="33" t="s">
        <v>145</v>
      </c>
      <c r="C13" s="8" t="s">
        <v>18</v>
      </c>
      <c r="D13" s="8" t="s">
        <v>144</v>
      </c>
      <c r="E13" s="8" t="s">
        <v>12</v>
      </c>
      <c r="F13" s="8" t="s">
        <v>26</v>
      </c>
      <c r="G13" s="8">
        <v>4</v>
      </c>
      <c r="H13" s="8">
        <v>3</v>
      </c>
      <c r="I13" s="8" t="s">
        <v>50</v>
      </c>
      <c r="J13" s="8" t="s">
        <v>28</v>
      </c>
      <c r="K13" s="8" t="s">
        <v>23</v>
      </c>
      <c r="L13" s="9" t="s">
        <v>51</v>
      </c>
    </row>
    <row r="14" spans="1:12" ht="291" customHeight="1" thickBot="1" x14ac:dyDescent="0.3">
      <c r="A14" s="10">
        <v>11</v>
      </c>
      <c r="B14" s="28" t="s">
        <v>133</v>
      </c>
      <c r="C14" s="11" t="s">
        <v>30</v>
      </c>
      <c r="D14" s="11" t="s">
        <v>25</v>
      </c>
      <c r="E14" s="11" t="s">
        <v>34</v>
      </c>
      <c r="F14" s="11" t="s">
        <v>31</v>
      </c>
      <c r="G14" s="11">
        <v>3</v>
      </c>
      <c r="H14" s="11">
        <v>4</v>
      </c>
      <c r="I14" s="11" t="s">
        <v>52</v>
      </c>
      <c r="J14" s="11" t="s">
        <v>15</v>
      </c>
      <c r="K14" s="11" t="s">
        <v>23</v>
      </c>
      <c r="L14" s="12" t="s">
        <v>53</v>
      </c>
    </row>
    <row r="15" spans="1:12" ht="198.75" customHeight="1" thickBot="1" x14ac:dyDescent="0.3">
      <c r="A15" s="7">
        <v>12</v>
      </c>
      <c r="B15" s="29" t="s">
        <v>134</v>
      </c>
      <c r="C15" s="8" t="s">
        <v>54</v>
      </c>
      <c r="D15" s="8" t="s">
        <v>55</v>
      </c>
      <c r="E15" s="8" t="s">
        <v>12</v>
      </c>
      <c r="F15" s="8" t="s">
        <v>56</v>
      </c>
      <c r="G15" s="8">
        <v>4</v>
      </c>
      <c r="H15" s="8">
        <v>3</v>
      </c>
      <c r="I15" s="8" t="s">
        <v>57</v>
      </c>
      <c r="J15" s="8" t="s">
        <v>22</v>
      </c>
      <c r="K15" s="8" t="s">
        <v>23</v>
      </c>
      <c r="L15" s="9" t="s">
        <v>58</v>
      </c>
    </row>
    <row r="16" spans="1:12" ht="182.25" customHeight="1" thickBot="1" x14ac:dyDescent="0.3">
      <c r="A16" s="10">
        <v>13</v>
      </c>
      <c r="B16" s="28" t="s">
        <v>135</v>
      </c>
      <c r="C16" s="11" t="s">
        <v>30</v>
      </c>
      <c r="D16" s="11" t="s">
        <v>59</v>
      </c>
      <c r="E16" s="11" t="s">
        <v>12</v>
      </c>
      <c r="F16" s="11" t="s">
        <v>60</v>
      </c>
      <c r="G16" s="11">
        <v>4</v>
      </c>
      <c r="H16" s="11">
        <v>4</v>
      </c>
      <c r="I16" s="11" t="s">
        <v>61</v>
      </c>
      <c r="J16" s="11" t="s">
        <v>15</v>
      </c>
      <c r="K16" s="11" t="s">
        <v>16</v>
      </c>
      <c r="L16" s="12" t="s">
        <v>62</v>
      </c>
    </row>
    <row r="17" spans="1:12" ht="137.25" customHeight="1" thickBot="1" x14ac:dyDescent="0.3">
      <c r="A17" s="7">
        <v>14</v>
      </c>
      <c r="B17" s="29" t="s">
        <v>136</v>
      </c>
      <c r="C17" s="8" t="s">
        <v>54</v>
      </c>
      <c r="D17" s="8" t="s">
        <v>63</v>
      </c>
      <c r="E17" s="8" t="s">
        <v>12</v>
      </c>
      <c r="F17" s="8" t="s">
        <v>64</v>
      </c>
      <c r="G17" s="8">
        <v>4</v>
      </c>
      <c r="H17" s="8">
        <v>5</v>
      </c>
      <c r="I17" s="8" t="s">
        <v>65</v>
      </c>
      <c r="J17" s="8" t="s">
        <v>45</v>
      </c>
      <c r="K17" s="8" t="s">
        <v>16</v>
      </c>
      <c r="L17" s="9" t="s">
        <v>66</v>
      </c>
    </row>
    <row r="18" spans="1:12" ht="117" customHeight="1" thickBot="1" x14ac:dyDescent="0.3">
      <c r="A18" s="10">
        <v>15</v>
      </c>
      <c r="B18" s="28" t="s">
        <v>137</v>
      </c>
      <c r="C18" s="11" t="s">
        <v>54</v>
      </c>
      <c r="D18" s="11" t="s">
        <v>55</v>
      </c>
      <c r="E18" s="11" t="s">
        <v>12</v>
      </c>
      <c r="F18" s="11" t="s">
        <v>31</v>
      </c>
      <c r="G18" s="11">
        <v>3</v>
      </c>
      <c r="H18" s="11">
        <v>3</v>
      </c>
      <c r="I18" s="11" t="s">
        <v>67</v>
      </c>
      <c r="J18" s="11" t="s">
        <v>45</v>
      </c>
      <c r="K18" s="11" t="s">
        <v>16</v>
      </c>
      <c r="L18" s="12" t="s">
        <v>68</v>
      </c>
    </row>
    <row r="19" spans="1:12" ht="241.5" customHeight="1" thickBot="1" x14ac:dyDescent="0.3">
      <c r="A19" s="7">
        <v>16</v>
      </c>
      <c r="B19" s="29" t="s">
        <v>138</v>
      </c>
      <c r="C19" s="8" t="s">
        <v>54</v>
      </c>
      <c r="D19" s="8" t="s">
        <v>69</v>
      </c>
      <c r="E19" s="8" t="s">
        <v>12</v>
      </c>
      <c r="F19" s="8" t="s">
        <v>70</v>
      </c>
      <c r="G19" s="8">
        <v>4</v>
      </c>
      <c r="H19" s="8">
        <v>3</v>
      </c>
      <c r="I19" s="8" t="s">
        <v>71</v>
      </c>
      <c r="J19" s="8" t="s">
        <v>22</v>
      </c>
      <c r="K19" s="8" t="s">
        <v>23</v>
      </c>
      <c r="L19" s="9" t="s">
        <v>72</v>
      </c>
    </row>
    <row r="20" spans="1:12" ht="276" customHeight="1" thickBot="1" x14ac:dyDescent="0.3">
      <c r="A20" s="10">
        <v>17</v>
      </c>
      <c r="B20" s="28" t="s">
        <v>139</v>
      </c>
      <c r="C20" s="11" t="s">
        <v>54</v>
      </c>
      <c r="D20" s="11" t="s">
        <v>73</v>
      </c>
      <c r="E20" s="11" t="s">
        <v>34</v>
      </c>
      <c r="F20" s="11" t="s">
        <v>13</v>
      </c>
      <c r="G20" s="11">
        <v>5</v>
      </c>
      <c r="H20" s="11">
        <v>4</v>
      </c>
      <c r="I20" s="11" t="s">
        <v>74</v>
      </c>
      <c r="J20" s="11" t="s">
        <v>15</v>
      </c>
      <c r="K20" s="11" t="s">
        <v>23</v>
      </c>
      <c r="L20" s="12" t="s">
        <v>75</v>
      </c>
    </row>
    <row r="21" spans="1:12" ht="87" customHeight="1" thickBot="1" x14ac:dyDescent="0.3">
      <c r="A21" s="7">
        <v>18</v>
      </c>
      <c r="B21" s="29" t="s">
        <v>140</v>
      </c>
      <c r="C21" s="8" t="s">
        <v>10</v>
      </c>
      <c r="D21" s="8" t="s">
        <v>76</v>
      </c>
      <c r="E21" s="8" t="s">
        <v>12</v>
      </c>
      <c r="F21" s="8" t="s">
        <v>31</v>
      </c>
      <c r="G21" s="8">
        <v>3</v>
      </c>
      <c r="H21" s="8">
        <v>3</v>
      </c>
      <c r="I21" s="8" t="s">
        <v>77</v>
      </c>
      <c r="J21" s="8" t="s">
        <v>28</v>
      </c>
      <c r="K21" s="8" t="s">
        <v>16</v>
      </c>
      <c r="L21" s="9" t="s">
        <v>78</v>
      </c>
    </row>
    <row r="22" spans="1:12" ht="141.75" customHeight="1" thickBot="1" x14ac:dyDescent="0.3">
      <c r="A22" s="10">
        <v>19</v>
      </c>
      <c r="B22" s="28" t="s">
        <v>141</v>
      </c>
      <c r="C22" s="11" t="s">
        <v>18</v>
      </c>
      <c r="D22" s="11" t="s">
        <v>69</v>
      </c>
      <c r="E22" s="11" t="s">
        <v>12</v>
      </c>
      <c r="F22" s="11" t="s">
        <v>79</v>
      </c>
      <c r="G22" s="11">
        <v>3</v>
      </c>
      <c r="H22" s="11">
        <v>4</v>
      </c>
      <c r="I22" s="11" t="s">
        <v>80</v>
      </c>
      <c r="J22" s="11" t="s">
        <v>28</v>
      </c>
      <c r="K22" s="11" t="s">
        <v>16</v>
      </c>
      <c r="L22" s="12" t="s">
        <v>81</v>
      </c>
    </row>
    <row r="23" spans="1:12" ht="258" customHeight="1" thickBot="1" x14ac:dyDescent="0.3">
      <c r="A23" s="7">
        <v>20</v>
      </c>
      <c r="B23" s="29" t="s">
        <v>142</v>
      </c>
      <c r="C23" s="8" t="s">
        <v>18</v>
      </c>
      <c r="D23" s="8" t="s">
        <v>69</v>
      </c>
      <c r="E23" s="8" t="s">
        <v>12</v>
      </c>
      <c r="F23" s="8" t="s">
        <v>31</v>
      </c>
      <c r="G23" s="8">
        <v>4</v>
      </c>
      <c r="H23" s="8">
        <v>2</v>
      </c>
      <c r="I23" s="8" t="s">
        <v>71</v>
      </c>
      <c r="J23" s="8" t="s">
        <v>15</v>
      </c>
      <c r="K23" s="8" t="s">
        <v>23</v>
      </c>
      <c r="L23" s="9" t="s">
        <v>82</v>
      </c>
    </row>
    <row r="24" spans="1:12" ht="203.25" customHeight="1" thickBot="1" x14ac:dyDescent="0.3">
      <c r="A24" s="13">
        <v>21</v>
      </c>
      <c r="B24" s="30" t="s">
        <v>143</v>
      </c>
      <c r="C24" s="14" t="s">
        <v>30</v>
      </c>
      <c r="D24" s="14" t="s">
        <v>83</v>
      </c>
      <c r="E24" s="14" t="s">
        <v>12</v>
      </c>
      <c r="F24" s="14" t="s">
        <v>70</v>
      </c>
      <c r="G24" s="14">
        <v>4</v>
      </c>
      <c r="H24" s="14">
        <v>3</v>
      </c>
      <c r="I24" s="14" t="s">
        <v>84</v>
      </c>
      <c r="J24" s="14" t="s">
        <v>15</v>
      </c>
      <c r="K24" s="14" t="s">
        <v>23</v>
      </c>
      <c r="L24" s="15" t="s">
        <v>85</v>
      </c>
    </row>
    <row r="28" spans="1:12" ht="15.75" thickBot="1" x14ac:dyDescent="0.3"/>
    <row r="29" spans="1:12" ht="15.75" thickTop="1" x14ac:dyDescent="0.25">
      <c r="A29" s="59" t="s">
        <v>117</v>
      </c>
      <c r="B29" s="55"/>
      <c r="C29" s="55"/>
      <c r="D29" s="55"/>
      <c r="E29" s="61"/>
    </row>
    <row r="30" spans="1:12" ht="15.75" thickBot="1" x14ac:dyDescent="0.3">
      <c r="A30" s="63"/>
      <c r="B30" s="44"/>
      <c r="C30" s="44"/>
      <c r="D30" s="44"/>
      <c r="E30" s="62"/>
    </row>
    <row r="31" spans="1:12" ht="39.950000000000003" customHeight="1" thickTop="1" x14ac:dyDescent="0.25">
      <c r="A31" s="42" t="s">
        <v>89</v>
      </c>
      <c r="B31" s="42"/>
      <c r="C31" s="42" t="s">
        <v>87</v>
      </c>
      <c r="D31" s="42" t="s">
        <v>98</v>
      </c>
      <c r="E31" s="45" t="s">
        <v>118</v>
      </c>
    </row>
    <row r="32" spans="1:12" ht="39.950000000000003" customHeight="1" x14ac:dyDescent="0.25">
      <c r="A32" s="34" t="s">
        <v>90</v>
      </c>
      <c r="B32" s="16"/>
      <c r="C32" s="17" t="s">
        <v>88</v>
      </c>
      <c r="D32" s="18">
        <f>COUNTA(A4:A24)</f>
        <v>21</v>
      </c>
      <c r="E32" s="46"/>
    </row>
    <row r="33" spans="1:6" ht="39.950000000000003" customHeight="1" x14ac:dyDescent="0.25">
      <c r="A33" s="35" t="s">
        <v>91</v>
      </c>
      <c r="B33" s="21"/>
      <c r="C33" s="18" t="s">
        <v>92</v>
      </c>
      <c r="D33" s="18">
        <v>7</v>
      </c>
      <c r="E33" s="43">
        <f>D33/D32</f>
        <v>0.33333333333333331</v>
      </c>
      <c r="F33" s="47"/>
    </row>
    <row r="34" spans="1:6" ht="39.950000000000003" customHeight="1" x14ac:dyDescent="0.25">
      <c r="A34" s="36"/>
      <c r="B34" s="22"/>
      <c r="C34" s="18" t="s">
        <v>10</v>
      </c>
      <c r="D34" s="18">
        <v>4</v>
      </c>
      <c r="E34" s="43">
        <f>D34/D32</f>
        <v>0.19047619047619047</v>
      </c>
      <c r="F34" s="47"/>
    </row>
    <row r="35" spans="1:6" ht="39.950000000000003" customHeight="1" x14ac:dyDescent="0.25">
      <c r="A35" s="36"/>
      <c r="B35" s="22"/>
      <c r="C35" s="18" t="s">
        <v>18</v>
      </c>
      <c r="D35" s="18">
        <v>5</v>
      </c>
      <c r="E35" s="43">
        <f>D35/D32</f>
        <v>0.23809523809523808</v>
      </c>
      <c r="F35" s="47"/>
    </row>
    <row r="36" spans="1:6" ht="39.950000000000003" customHeight="1" x14ac:dyDescent="0.25">
      <c r="A36" s="37"/>
      <c r="B36" s="23"/>
      <c r="C36" s="18" t="s">
        <v>54</v>
      </c>
      <c r="D36" s="18">
        <v>5</v>
      </c>
      <c r="E36" s="43">
        <f>D36/D32</f>
        <v>0.23809523809523808</v>
      </c>
      <c r="F36" s="47"/>
    </row>
    <row r="37" spans="1:6" ht="39.950000000000003" customHeight="1" x14ac:dyDescent="0.25">
      <c r="A37" s="38" t="s">
        <v>93</v>
      </c>
      <c r="B37" s="24"/>
      <c r="C37" s="18" t="s">
        <v>94</v>
      </c>
      <c r="D37" s="18">
        <v>17</v>
      </c>
      <c r="E37" s="43">
        <f>D37/D32</f>
        <v>0.80952380952380953</v>
      </c>
      <c r="F37" s="47"/>
    </row>
    <row r="38" spans="1:6" ht="39.950000000000003" customHeight="1" x14ac:dyDescent="0.25">
      <c r="A38" s="39"/>
      <c r="B38" s="25"/>
      <c r="C38" s="18" t="s">
        <v>95</v>
      </c>
      <c r="D38" s="18">
        <v>4</v>
      </c>
      <c r="E38" s="49">
        <f>D38/D32</f>
        <v>0.19047619047619047</v>
      </c>
      <c r="F38" s="48"/>
    </row>
    <row r="39" spans="1:6" ht="39.950000000000003" customHeight="1" x14ac:dyDescent="0.25">
      <c r="A39" s="39"/>
      <c r="B39" s="25"/>
      <c r="C39" s="18" t="s">
        <v>96</v>
      </c>
      <c r="D39" s="18">
        <v>0</v>
      </c>
      <c r="E39" s="49">
        <f>D39/D32</f>
        <v>0</v>
      </c>
      <c r="F39" s="48"/>
    </row>
    <row r="40" spans="1:6" ht="39.950000000000003" customHeight="1" x14ac:dyDescent="0.25">
      <c r="A40" s="40"/>
      <c r="B40" s="26"/>
      <c r="C40" s="18" t="s">
        <v>97</v>
      </c>
      <c r="D40" s="18">
        <v>0</v>
      </c>
      <c r="E40" s="43">
        <f>D40/D32</f>
        <v>0</v>
      </c>
      <c r="F40" s="47"/>
    </row>
    <row r="41" spans="1:6" ht="39.950000000000003" customHeight="1" x14ac:dyDescent="0.25">
      <c r="A41" s="38" t="s">
        <v>100</v>
      </c>
      <c r="B41" s="24"/>
      <c r="C41" s="18" t="s">
        <v>101</v>
      </c>
      <c r="D41" s="19">
        <f>AVERAGE(G4:G24)</f>
        <v>3.7619047619047619</v>
      </c>
      <c r="E41" s="43">
        <f>D41/5</f>
        <v>0.75238095238095237</v>
      </c>
      <c r="F41" s="47"/>
    </row>
    <row r="42" spans="1:6" ht="39.950000000000003" customHeight="1" x14ac:dyDescent="0.25">
      <c r="A42" s="40"/>
      <c r="B42" s="26"/>
      <c r="C42" s="18" t="s">
        <v>102</v>
      </c>
      <c r="D42" s="19">
        <f>AVERAGE(H4:H24)</f>
        <v>3.8095238095238093</v>
      </c>
      <c r="E42" s="49">
        <f>D42/5</f>
        <v>0.76190476190476186</v>
      </c>
      <c r="F42" s="48"/>
    </row>
    <row r="43" spans="1:6" ht="39.950000000000003" customHeight="1" x14ac:dyDescent="0.25">
      <c r="A43" s="35" t="s">
        <v>103</v>
      </c>
      <c r="B43" s="21"/>
      <c r="C43" s="20" t="s">
        <v>104</v>
      </c>
      <c r="D43" s="18">
        <v>5</v>
      </c>
      <c r="E43" s="43">
        <f>D43/21</f>
        <v>0.23809523809523808</v>
      </c>
      <c r="F43" s="47"/>
    </row>
    <row r="44" spans="1:6" ht="39.950000000000003" customHeight="1" x14ac:dyDescent="0.25">
      <c r="A44" s="36"/>
      <c r="B44" s="22"/>
      <c r="C44" s="20" t="s">
        <v>105</v>
      </c>
      <c r="D44" s="18">
        <v>7</v>
      </c>
      <c r="E44" s="43">
        <f>D44/D32</f>
        <v>0.33333333333333331</v>
      </c>
      <c r="F44" s="47"/>
    </row>
    <row r="45" spans="1:6" ht="39.950000000000003" customHeight="1" x14ac:dyDescent="0.25">
      <c r="A45" s="36"/>
      <c r="B45" s="22"/>
      <c r="C45" s="18" t="s">
        <v>106</v>
      </c>
      <c r="D45" s="18">
        <v>4</v>
      </c>
      <c r="E45" s="43">
        <f>D45/D32</f>
        <v>0.19047619047619047</v>
      </c>
      <c r="F45" s="47"/>
    </row>
    <row r="46" spans="1:6" ht="39.950000000000003" customHeight="1" x14ac:dyDescent="0.25">
      <c r="A46" s="36"/>
      <c r="B46" s="22"/>
      <c r="C46" s="18" t="s">
        <v>107</v>
      </c>
      <c r="D46" s="18">
        <v>4</v>
      </c>
      <c r="E46" s="49">
        <f>D46/D32</f>
        <v>0.19047619047619047</v>
      </c>
      <c r="F46" s="48"/>
    </row>
    <row r="47" spans="1:6" ht="39.950000000000003" customHeight="1" x14ac:dyDescent="0.25">
      <c r="A47" s="37"/>
      <c r="B47" s="23"/>
      <c r="C47" s="18" t="s">
        <v>108</v>
      </c>
      <c r="D47" s="18">
        <v>1</v>
      </c>
      <c r="E47" s="43">
        <f>D47/D32</f>
        <v>4.7619047619047616E-2</v>
      </c>
      <c r="F47" s="47"/>
    </row>
    <row r="48" spans="1:6" ht="39.950000000000003" customHeight="1" x14ac:dyDescent="0.25">
      <c r="A48" s="35" t="s">
        <v>110</v>
      </c>
      <c r="B48" s="21"/>
      <c r="C48" s="18" t="s">
        <v>31</v>
      </c>
      <c r="D48" s="18">
        <v>21</v>
      </c>
      <c r="E48" s="43">
        <f>D48/D32</f>
        <v>1</v>
      </c>
      <c r="F48" s="47"/>
    </row>
    <row r="49" spans="1:10" ht="39.950000000000003" customHeight="1" x14ac:dyDescent="0.25">
      <c r="A49" s="36"/>
      <c r="B49" s="22"/>
      <c r="C49" s="18" t="s">
        <v>109</v>
      </c>
      <c r="D49" s="18">
        <v>11</v>
      </c>
      <c r="E49" s="43">
        <f>D49/D32</f>
        <v>0.52380952380952384</v>
      </c>
      <c r="F49" s="47"/>
    </row>
    <row r="50" spans="1:10" ht="39.950000000000003" customHeight="1" x14ac:dyDescent="0.25">
      <c r="A50" s="36"/>
      <c r="B50" s="22"/>
      <c r="C50" s="18" t="s">
        <v>111</v>
      </c>
      <c r="D50" s="18">
        <v>1</v>
      </c>
      <c r="E50" s="43">
        <f>D50/D32</f>
        <v>4.7619047619047616E-2</v>
      </c>
      <c r="F50" s="47"/>
    </row>
    <row r="51" spans="1:10" ht="39.950000000000003" customHeight="1" x14ac:dyDescent="0.25">
      <c r="A51" s="36"/>
      <c r="B51" s="22"/>
      <c r="C51" s="18" t="s">
        <v>112</v>
      </c>
      <c r="D51" s="18">
        <v>2</v>
      </c>
      <c r="E51" s="43">
        <f>D51/D32</f>
        <v>9.5238095238095233E-2</v>
      </c>
      <c r="F51" s="47"/>
    </row>
    <row r="52" spans="1:10" ht="39.950000000000003" customHeight="1" x14ac:dyDescent="0.25">
      <c r="A52" s="36"/>
      <c r="B52" s="22"/>
      <c r="C52" s="20" t="s">
        <v>113</v>
      </c>
      <c r="D52" s="18">
        <v>1</v>
      </c>
      <c r="E52" s="43">
        <f>D52/D32</f>
        <v>4.7619047619047616E-2</v>
      </c>
      <c r="F52" s="47"/>
    </row>
    <row r="53" spans="1:10" ht="39.950000000000003" customHeight="1" x14ac:dyDescent="0.25">
      <c r="A53" s="36"/>
      <c r="B53" s="22"/>
      <c r="C53" s="18" t="s">
        <v>115</v>
      </c>
      <c r="D53" s="18">
        <v>4</v>
      </c>
      <c r="E53" s="43">
        <f>D53/D32</f>
        <v>0.19047619047619047</v>
      </c>
      <c r="F53" s="47"/>
    </row>
    <row r="54" spans="1:10" ht="39.950000000000003" customHeight="1" thickBot="1" x14ac:dyDescent="0.3">
      <c r="A54" s="36"/>
      <c r="B54" s="54"/>
      <c r="C54" s="53" t="s">
        <v>114</v>
      </c>
      <c r="D54" s="52">
        <v>6</v>
      </c>
      <c r="E54" s="50">
        <f>D54/D32</f>
        <v>0.2857142857142857</v>
      </c>
      <c r="F54" s="47"/>
    </row>
    <row r="55" spans="1:10" ht="15.75" thickTop="1" x14ac:dyDescent="0.25">
      <c r="A55" s="51"/>
      <c r="C55" s="51"/>
      <c r="E55" s="51"/>
    </row>
    <row r="56" spans="1:10" ht="15.75" thickBot="1" x14ac:dyDescent="0.3"/>
    <row r="57" spans="1:10" ht="15" customHeight="1" thickTop="1" x14ac:dyDescent="0.25">
      <c r="A57" s="59" t="s">
        <v>119</v>
      </c>
      <c r="B57" s="55"/>
      <c r="C57" s="55"/>
      <c r="D57" s="55"/>
      <c r="E57" s="55"/>
      <c r="F57" s="55"/>
      <c r="G57" s="55"/>
      <c r="H57" s="55"/>
      <c r="I57" s="55"/>
      <c r="J57" s="61"/>
    </row>
    <row r="58" spans="1:10" ht="15" customHeight="1" thickBot="1" x14ac:dyDescent="0.3">
      <c r="A58" s="63"/>
      <c r="B58" s="44"/>
      <c r="C58" s="44"/>
      <c r="D58" s="44"/>
      <c r="E58" s="44"/>
      <c r="F58" s="44"/>
      <c r="G58" s="44"/>
      <c r="H58" s="44"/>
      <c r="I58" s="44"/>
      <c r="J58" s="62"/>
    </row>
    <row r="59" spans="1:10" ht="15.75" thickTop="1" x14ac:dyDescent="0.25"/>
    <row r="91" spans="1:10" ht="15.75" thickBot="1" x14ac:dyDescent="0.3"/>
    <row r="92" spans="1:10" ht="15.75" thickTop="1" x14ac:dyDescent="0.25">
      <c r="A92" s="59" t="s">
        <v>120</v>
      </c>
      <c r="B92" s="55"/>
      <c r="C92" s="55"/>
      <c r="D92" s="55"/>
      <c r="E92" s="55"/>
      <c r="F92" s="55"/>
      <c r="G92" s="55"/>
      <c r="H92" s="55"/>
      <c r="I92" s="55"/>
      <c r="J92" s="61"/>
    </row>
    <row r="93" spans="1:10" ht="15.75" thickBot="1" x14ac:dyDescent="0.3">
      <c r="A93" s="63"/>
      <c r="B93" s="44"/>
      <c r="C93" s="44"/>
      <c r="D93" s="44"/>
      <c r="E93" s="44"/>
      <c r="F93" s="44"/>
      <c r="G93" s="44"/>
      <c r="H93" s="44"/>
      <c r="I93" s="44"/>
      <c r="J93" s="62"/>
    </row>
    <row r="94" spans="1:10" ht="15.75" thickTop="1" x14ac:dyDescent="0.25"/>
  </sheetData>
  <mergeCells count="9">
    <mergeCell ref="A1:L2"/>
    <mergeCell ref="A57:J58"/>
    <mergeCell ref="A92:J93"/>
    <mergeCell ref="A29:E30"/>
    <mergeCell ref="A33:A36"/>
    <mergeCell ref="A37:A40"/>
    <mergeCell ref="A41:A42"/>
    <mergeCell ref="A43:A47"/>
    <mergeCell ref="A48:A54"/>
  </mergeCells>
  <hyperlinks>
    <hyperlink ref="B13" r:id="rId1" xr:uid="{F1E6C092-7446-4DCF-86B2-DD942B79C325}"/>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LHCFSCEM 2305124</dc:creator>
  <cp:lastModifiedBy>LHCFSCEM 2305124</cp:lastModifiedBy>
  <dcterms:created xsi:type="dcterms:W3CDTF">2025-10-29T06:35:23Z</dcterms:created>
  <dcterms:modified xsi:type="dcterms:W3CDTF">2025-11-05T06:38:59Z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1f12b8a333b645fa8df57b5d6e88bb99</vt:lpwstr>
  </property>
</Properties>
</file>